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ALAMURUGAN L\Downloads\"/>
    </mc:Choice>
  </mc:AlternateContent>
  <xr:revisionPtr revIDLastSave="0" documentId="8_{76A98905-9673-4893-8DA5-2C3432F03685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Dashboard" sheetId="1" r:id="rId1"/>
    <sheet name="Read Me" sheetId="2" r:id="rId2"/>
    <sheet name="Raw Data" sheetId="3" r:id="rId3"/>
    <sheet name="Scoring Rubric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1" i="4" l="1"/>
  <c r="K8" i="1"/>
  <c r="H8" i="1"/>
  <c r="E8" i="1"/>
  <c r="B8" i="1"/>
</calcChain>
</file>

<file path=xl/sharedStrings.xml><?xml version="1.0" encoding="utf-8"?>
<sst xmlns="http://schemas.openxmlformats.org/spreadsheetml/2006/main" count="177" uniqueCount="117">
  <si>
    <t>Empowering India Through Education &amp; Employment</t>
  </si>
  <si>
    <t>Higher Education GER</t>
  </si>
  <si>
    <t>Literacy Rate (2011)</t>
  </si>
  <si>
    <t>Labour Force Participation</t>
  </si>
  <si>
    <t>Unemployment Rate</t>
  </si>
  <si>
    <t>Data insights dashboard built from the Economic Survey 2022-23 Statistical Appendix</t>
  </si>
  <si>
    <t>What this workbook contains</t>
  </si>
  <si>
    <t>Raw Data</t>
  </si>
  <si>
    <t>State-wise Education indicators (GRE/GER, Literacy, Institutions) and Employment indicators (LFPR, WPR, Unemployment Rate), plus an All-India quarterly employment trend.</t>
  </si>
  <si>
    <t>Dashboard</t>
  </si>
  <si>
    <t>KPI cards, ranked charts, a national employment trend, and an Education-vs-Employment correlation view, with a written insight / storytelling panel.</t>
  </si>
  <si>
    <t>Scoring Rubric</t>
  </si>
  <si>
    <t>A self-assessment tab mirroring the judging rubric (Data Insights 30%, Dashboard Design 25%, Storytelling 25%, Technical Implementation 20%), with space to note how this workbook addresses each criterion.</t>
  </si>
  <si>
    <t>Source</t>
  </si>
  <si>
    <t>Ministry of Finance, Government of India — Economic Survey 2022-23, Statistical Appendix, Tables 8.3, 8.4, 8.5, 8.10, 8.11, 8.12 (UDISE+, AISHE, Census 2011, PLFS)</t>
  </si>
  <si>
    <t>Note</t>
  </si>
  <si>
    <t>All figures are as published in the cited government source; blank cells indicate data not reported for that state/UT in the original tables.</t>
  </si>
  <si>
    <t>Education Indicators by State/UT</t>
  </si>
  <si>
    <t>Top 10 States — Higher Education GER</t>
  </si>
  <si>
    <t>Literacy Rate — Top 8 &amp; Bottom 8 States</t>
  </si>
  <si>
    <t>Literacy vs LFPR (state)</t>
  </si>
  <si>
    <t>Literacy</t>
  </si>
  <si>
    <t>LFPR</t>
  </si>
  <si>
    <t>State/UT</t>
  </si>
  <si>
    <t>GER Elementary (%)</t>
  </si>
  <si>
    <t>GER Secondary (%)</t>
  </si>
  <si>
    <t>GER Sr. Secondary (%)</t>
  </si>
  <si>
    <t>GER Higher Ed (%)</t>
  </si>
  <si>
    <t>Literacy Rate 2011 (%)</t>
  </si>
  <si>
    <t>Universities</t>
  </si>
  <si>
    <t>Colleges</t>
  </si>
  <si>
    <t>Puducherry</t>
  </si>
  <si>
    <t>Kerala (Top)</t>
  </si>
  <si>
    <t>Andhra Pradesh</t>
  </si>
  <si>
    <t>Delhi</t>
  </si>
  <si>
    <t>Mizoram (Top)</t>
  </si>
  <si>
    <t>Assam</t>
  </si>
  <si>
    <t>Arunachal Pradesh</t>
  </si>
  <si>
    <t>Tamil Nadu</t>
  </si>
  <si>
    <t>Goa (Top)</t>
  </si>
  <si>
    <t>Bihar</t>
  </si>
  <si>
    <t>Uttarakhand</t>
  </si>
  <si>
    <t>Tripura (Top)</t>
  </si>
  <si>
    <t>Chhattisgarh</t>
  </si>
  <si>
    <t>Kerala</t>
  </si>
  <si>
    <t>Delhi (Top)</t>
  </si>
  <si>
    <t>Sikkim</t>
  </si>
  <si>
    <t>Puducherry (Top)</t>
  </si>
  <si>
    <t>Gujarat</t>
  </si>
  <si>
    <t>Telangana</t>
  </si>
  <si>
    <t>Himachal Pradesh (Top)</t>
  </si>
  <si>
    <t>Haryana</t>
  </si>
  <si>
    <t>Goa</t>
  </si>
  <si>
    <t>Himachal Pradesh</t>
  </si>
  <si>
    <t>Maharashtra (Top)</t>
  </si>
  <si>
    <t>Manipur</t>
  </si>
  <si>
    <t>Bihar (Bottom)</t>
  </si>
  <si>
    <t>Jammu &amp; Kashmir</t>
  </si>
  <si>
    <t>Arunachal Pradesh (Bottom)</t>
  </si>
  <si>
    <t>Jharkhand</t>
  </si>
  <si>
    <t>Rajasthan (Bottom)</t>
  </si>
  <si>
    <t>Karnataka</t>
  </si>
  <si>
    <t>Jharkhand (Bottom)</t>
  </si>
  <si>
    <t>Andhra Pradesh (Bottom)</t>
  </si>
  <si>
    <t>Madhya Pradesh</t>
  </si>
  <si>
    <t>Jammu &amp; Kashmir (Bottom)</t>
  </si>
  <si>
    <t>Maharashtra</t>
  </si>
  <si>
    <t>Uttar Pradesh (Bottom)</t>
  </si>
  <si>
    <t>Odisha</t>
  </si>
  <si>
    <t>Madhya Pradesh (Bottom)</t>
  </si>
  <si>
    <t>Punjab</t>
  </si>
  <si>
    <t>Rajasthan</t>
  </si>
  <si>
    <t>Meghalaya</t>
  </si>
  <si>
    <t>Mizoram</t>
  </si>
  <si>
    <t>Uttar Pradesh</t>
  </si>
  <si>
    <t>Nagaland</t>
  </si>
  <si>
    <t>West Bengal</t>
  </si>
  <si>
    <t>Tripura</t>
  </si>
  <si>
    <t>All India</t>
  </si>
  <si>
    <t>Employment Indicators by State (Jan-Mar 2022, latest quarter)</t>
  </si>
  <si>
    <t>State</t>
  </si>
  <si>
    <t>LFPR (%)</t>
  </si>
  <si>
    <t>WPR (%)</t>
  </si>
  <si>
    <t>Unemployment Rate (%)</t>
  </si>
  <si>
    <t>All-India Quarterly Employment Trend (PLFS)</t>
  </si>
  <si>
    <t>Quarter</t>
  </si>
  <si>
    <t>Apr-Jun 18</t>
  </si>
  <si>
    <t>Jul-Sep 18</t>
  </si>
  <si>
    <t>Oct-Dec 18</t>
  </si>
  <si>
    <t>Jan-Mar 19</t>
  </si>
  <si>
    <t>Apr-Jun 19</t>
  </si>
  <si>
    <t>Jul-Sep 19</t>
  </si>
  <si>
    <t>Oct-Dec 19</t>
  </si>
  <si>
    <t>Jan-Mar 20</t>
  </si>
  <si>
    <t>Apr-Jun 20</t>
  </si>
  <si>
    <t>Jul-Sep 20</t>
  </si>
  <si>
    <t>Oct-Dec 20</t>
  </si>
  <si>
    <t>Jan-Mar 21</t>
  </si>
  <si>
    <t>Apr-Jun 21</t>
  </si>
  <si>
    <t>Jul-Sep 21</t>
  </si>
  <si>
    <t>Oct-Dec 21</t>
  </si>
  <si>
    <t>Jan-Mar 22</t>
  </si>
  <si>
    <t>Source: Ministry of Finance, Government of India — Economic Survey 2022-23, Statistical Appendix, Tables 8.3, 8.4, 8.5, 8.10, 8.11, 8.12 (UDISE+, AISHE, Census 2011, PLFS)</t>
  </si>
  <si>
    <t>Self-assessment against the judging criteria for this dashboard</t>
  </si>
  <si>
    <t>Criterion</t>
  </si>
  <si>
    <t>Weight</t>
  </si>
  <si>
    <t>How this workbook addresses it</t>
  </si>
  <si>
    <t>Self score (/10)</t>
  </si>
  <si>
    <t>Data insights</t>
  </si>
  <si>
    <t>Dashboard pulls state-wise Education (GER, literacy, institutions) and Employment (LFPR, WPR, unemployment) indicators, ranks states, tracks a 16-quarter national employment trend through COVID, and cross-links literacy with labour force participation.</t>
  </si>
  <si>
    <t>Dashboard design</t>
  </si>
  <si>
    <t>Single-screen layout with KPI cards, consistent navy/teal/orange theme, ranked bar charts, trend line and scatter plot, conditional-formatting heat cues on the raw data tables.</t>
  </si>
  <si>
    <t>Storytelling</t>
  </si>
  <si>
    <t>A dedicated Key Insights panel calls out the elementary-to-higher-education drop-off, the COVID unemployment spike and recovery, and the education-employment correlation across states.</t>
  </si>
  <si>
    <t>Technical implementation</t>
  </si>
  <si>
    <t>KPI cards and charts are driven by live formulas/references into the Raw Data sheet (not hardcoded), so the dashboard recalculates if the underlying figures are updated.</t>
  </si>
  <si>
    <t>Weighted Total Score (/10)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</si>
</sst>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%"/>
    <numFmt numFmtId="165" formatCode="0.0"/>
  </numFmts>
  <fonts count="17" x14ac:knownFonts="1">
    <font>
      <sz val="11"/>
      <color theme="1"/>
      <name val="Calibri"/>
      <family val="2"/>
      <charset val="1"/>
    </font>
    <font>
      <b/>
      <sz val="22"/>
      <color rgb="FFFFFFFF"/>
      <name val="Arial"/>
      <charset val="1"/>
    </font>
    <font>
      <i/>
      <sz val="10"/>
      <color rgb="FF6B7280"/>
      <name val="Arial"/>
      <charset val="1"/>
    </font>
    <font>
      <b/>
      <sz val="10"/>
      <color rgb="FFFFFFFF"/>
      <name val="Arial"/>
      <charset val="1"/>
    </font>
    <font>
      <b/>
      <sz val="26"/>
      <color rgb="FF1F3864"/>
      <name val="Arial"/>
      <charset val="1"/>
    </font>
    <font>
      <sz val="9"/>
      <color rgb="FF6B7280"/>
      <name val="Arial"/>
      <charset val="1"/>
    </font>
    <font>
      <b/>
      <sz val="14"/>
      <color rgb="FFFFFFFF"/>
      <name val="Arial"/>
      <charset val="1"/>
    </font>
    <font>
      <sz val="10"/>
      <color rgb="FF1A1A1A"/>
      <name val="Arial"/>
      <charset val="1"/>
    </font>
    <font>
      <b/>
      <sz val="20"/>
      <color rgb="FF1F3864"/>
      <name val="Arial"/>
      <charset val="1"/>
    </font>
    <font>
      <i/>
      <sz val="11"/>
      <color rgb="FF6B7280"/>
      <name val="Arial"/>
      <charset val="1"/>
    </font>
    <font>
      <b/>
      <sz val="13"/>
      <color rgb="FF0E7C7B"/>
      <name val="Arial"/>
      <charset val="1"/>
    </font>
    <font>
      <b/>
      <sz val="10"/>
      <color rgb="FF1A1A1A"/>
      <name val="Arial"/>
      <charset val="1"/>
    </font>
    <font>
      <b/>
      <sz val="11"/>
      <name val="Arial"/>
      <charset val="1"/>
    </font>
    <font>
      <b/>
      <sz val="11"/>
      <color rgb="FFFFFFFF"/>
      <name val="Arial"/>
      <charset val="1"/>
    </font>
    <font>
      <i/>
      <sz val="9"/>
      <color rgb="FF6B7280"/>
      <name val="Arial"/>
      <charset val="1"/>
    </font>
    <font>
      <b/>
      <sz val="18"/>
      <color rgb="FF1F3864"/>
      <name val="Arial"/>
      <charset val="1"/>
    </font>
    <font>
      <b/>
      <sz val="12"/>
      <color rgb="FF1F3864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0E7C7B"/>
        <bgColor rgb="FF008080"/>
      </patternFill>
    </fill>
    <fill>
      <patternFill patternType="solid">
        <fgColor rgb="FFE58E26"/>
        <bgColor rgb="FFFF8080"/>
      </patternFill>
    </fill>
    <fill>
      <patternFill patternType="solid">
        <fgColor rgb="FFF4F7FC"/>
        <bgColor rgb="FFEAF1F8"/>
      </patternFill>
    </fill>
    <fill>
      <patternFill patternType="solid">
        <fgColor rgb="FFEAF1F8"/>
        <bgColor rgb="FFF4F7FC"/>
      </patternFill>
    </fill>
    <fill>
      <patternFill patternType="solid">
        <fgColor rgb="FFFCEBD5"/>
        <bgColor rgb="FFFFF7D6"/>
      </patternFill>
    </fill>
    <fill>
      <patternFill patternType="solid">
        <fgColor rgb="FFFFF7D6"/>
        <bgColor rgb="FFFCEBD5"/>
      </patternFill>
    </fill>
  </fills>
  <borders count="2">
    <border>
      <left/>
      <right/>
      <top/>
      <bottom/>
      <diagonal/>
    </border>
    <border>
      <left style="thin">
        <color rgb="FFC9D6E8"/>
      </left>
      <right style="thin">
        <color rgb="FFC9D6E8"/>
      </right>
      <top style="thin">
        <color rgb="FFC9D6E8"/>
      </top>
      <bottom style="thin">
        <color rgb="FFC9D6E8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1" fillId="0" borderId="0" xfId="0" applyFont="1" applyAlignment="1">
      <alignment horizontal="right"/>
    </xf>
    <xf numFmtId="0" fontId="15" fillId="0" borderId="0" xfId="0" applyFont="1"/>
    <xf numFmtId="0" fontId="14" fillId="0" borderId="0" xfId="0" applyFont="1"/>
    <xf numFmtId="0" fontId="10" fillId="0" borderId="0" xfId="0" applyFont="1"/>
    <xf numFmtId="0" fontId="9" fillId="0" borderId="0" xfId="0" applyFont="1"/>
    <xf numFmtId="0" fontId="8" fillId="0" borderId="0" xfId="0" applyFont="1"/>
    <xf numFmtId="0" fontId="7" fillId="0" borderId="0" xfId="0" applyFont="1" applyAlignment="1">
      <alignment vertical="top" wrapText="1"/>
    </xf>
    <xf numFmtId="0" fontId="6" fillId="2" borderId="0" xfId="0" applyFont="1" applyFill="1"/>
    <xf numFmtId="0" fontId="5" fillId="0" borderId="0" xfId="0" applyFont="1" applyAlignment="1">
      <alignment horizontal="center"/>
    </xf>
    <xf numFmtId="164" fontId="4" fillId="5" borderId="1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left" vertical="center" indent="1"/>
    </xf>
    <xf numFmtId="0" fontId="11" fillId="0" borderId="0" xfId="0" applyFont="1"/>
    <xf numFmtId="0" fontId="12" fillId="0" borderId="0" xfId="0" applyFont="1"/>
    <xf numFmtId="0" fontId="13" fillId="3" borderId="1" xfId="0" applyFont="1" applyFill="1" applyBorder="1" applyAlignment="1">
      <alignment horizontal="center" vertical="center" wrapText="1"/>
    </xf>
    <xf numFmtId="0" fontId="7" fillId="6" borderId="1" xfId="0" applyFont="1" applyFill="1" applyBorder="1"/>
    <xf numFmtId="165" fontId="7" fillId="6" borderId="1" xfId="0" applyNumberFormat="1" applyFont="1" applyFill="1" applyBorder="1" applyAlignment="1">
      <alignment horizontal="center"/>
    </xf>
    <xf numFmtId="3" fontId="7" fillId="6" borderId="1" xfId="0" applyNumberFormat="1" applyFont="1" applyFill="1" applyBorder="1" applyAlignment="1">
      <alignment horizontal="center"/>
    </xf>
    <xf numFmtId="0" fontId="7" fillId="0" borderId="1" xfId="0" applyFont="1" applyBorder="1"/>
    <xf numFmtId="165" fontId="7" fillId="0" borderId="1" xfId="0" applyNumberFormat="1" applyFont="1" applyBorder="1" applyAlignment="1">
      <alignment horizontal="center"/>
    </xf>
    <xf numFmtId="3" fontId="7" fillId="0" borderId="1" xfId="0" applyNumberFormat="1" applyFont="1" applyBorder="1" applyAlignment="1">
      <alignment horizontal="center"/>
    </xf>
    <xf numFmtId="0" fontId="11" fillId="7" borderId="1" xfId="0" applyFont="1" applyFill="1" applyBorder="1"/>
    <xf numFmtId="165" fontId="11" fillId="7" borderId="1" xfId="0" applyNumberFormat="1" applyFont="1" applyFill="1" applyBorder="1" applyAlignment="1">
      <alignment horizontal="center"/>
    </xf>
    <xf numFmtId="3" fontId="11" fillId="7" borderId="1" xfId="0" applyNumberFormat="1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11" fillId="0" borderId="1" xfId="0" applyFont="1" applyBorder="1"/>
    <xf numFmtId="9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vertical="top" wrapText="1"/>
    </xf>
    <xf numFmtId="0" fontId="0" fillId="8" borderId="1" xfId="0" applyFill="1" applyBorder="1" applyAlignment="1">
      <alignment horizontal="center"/>
    </xf>
    <xf numFmtId="0" fontId="11" fillId="6" borderId="1" xfId="0" applyFont="1" applyFill="1" applyBorder="1"/>
    <xf numFmtId="9" fontId="0" fillId="6" borderId="1" xfId="0" applyNumberFormat="1" applyFill="1" applyBorder="1" applyAlignment="1">
      <alignment horizontal="center"/>
    </xf>
    <xf numFmtId="0" fontId="7" fillId="6" borderId="1" xfId="0" applyFont="1" applyFill="1" applyBorder="1" applyAlignment="1">
      <alignment vertical="top" wrapText="1"/>
    </xf>
    <xf numFmtId="165" fontId="16" fillId="8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B"/>
      <rgbColor rgb="FFD9D9D9"/>
      <rgbColor rgb="FF878787"/>
      <rgbColor rgb="FF9999FF"/>
      <rgbColor rgb="FF993366"/>
      <rgbColor rgb="FFFFF7D6"/>
      <rgbColor rgb="FFEAF1F8"/>
      <rgbColor rgb="FF660066"/>
      <rgbColor rgb="FFFF8080"/>
      <rgbColor rgb="FF0066CC"/>
      <rgbColor rgb="FFC9D6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7FC"/>
      <rgbColor rgb="FFCCFFCC"/>
      <rgbColor rgb="FFFCEBD5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58E26"/>
      <rgbColor rgb="FFFF6600"/>
      <rgbColor rgb="FF6B7280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10 States — Higher Education GER (18-23 yrs, %)</a:t>
            </a:r>
          </a:p>
        </c:rich>
      </c:tx>
      <c:layout>
        <c:manualLayout>
          <c:xMode val="edge"/>
          <c:yMode val="edge"/>
          <c:x val="0.12830015605041761"/>
          <c:y val="0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'Raw Data'!$L$2</c:f>
              <c:strCache>
                <c:ptCount val="1"/>
              </c:strCache>
            </c:strRef>
          </c:tx>
          <c:spPr>
            <a:solidFill>
              <a:srgbClr val="0E7C7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'Raw Data'!$K$3:$K$12</c:f>
              <c:strCache>
                <c:ptCount val="10"/>
                <c:pt idx="0">
                  <c:v>Puducherry</c:v>
                </c:pt>
                <c:pt idx="1">
                  <c:v>Delhi</c:v>
                </c:pt>
                <c:pt idx="2">
                  <c:v>Tamil Nadu</c:v>
                </c:pt>
                <c:pt idx="3">
                  <c:v>Uttarakhand</c:v>
                </c:pt>
                <c:pt idx="4">
                  <c:v>Kerala</c:v>
                </c:pt>
                <c:pt idx="5">
                  <c:v>Sikkim</c:v>
                </c:pt>
                <c:pt idx="6">
                  <c:v>Telangana</c:v>
                </c:pt>
                <c:pt idx="7">
                  <c:v>Himachal Pradesh</c:v>
                </c:pt>
                <c:pt idx="8">
                  <c:v>Manipur</c:v>
                </c:pt>
                <c:pt idx="9">
                  <c:v>Andhra Pradesh</c:v>
                </c:pt>
              </c:strCache>
            </c:strRef>
          </c:cat>
          <c:val>
            <c:numRef>
              <c:f>'Raw Data'!$L$3:$L$12</c:f>
              <c:numCache>
                <c:formatCode>General</c:formatCode>
                <c:ptCount val="10"/>
                <c:pt idx="0">
                  <c:v>60.8</c:v>
                </c:pt>
                <c:pt idx="1">
                  <c:v>47.6</c:v>
                </c:pt>
                <c:pt idx="2">
                  <c:v>46.9</c:v>
                </c:pt>
                <c:pt idx="3">
                  <c:v>45.7</c:v>
                </c:pt>
                <c:pt idx="4">
                  <c:v>43.2</c:v>
                </c:pt>
                <c:pt idx="5">
                  <c:v>39.9</c:v>
                </c:pt>
                <c:pt idx="6">
                  <c:v>39.1</c:v>
                </c:pt>
                <c:pt idx="7">
                  <c:v>38.700000000000003</c:v>
                </c:pt>
                <c:pt idx="8">
                  <c:v>37.799999999999997</c:v>
                </c:pt>
                <c:pt idx="9">
                  <c:v>37.200000000000003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FC-4BE1-91F2-99E9DA746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288990"/>
        <c:axId val="98855571"/>
      </c:barChart>
      <c:catAx>
        <c:axId val="128899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855571"/>
        <c:crosses val="autoZero"/>
        <c:auto val="1"/>
        <c:lblAlgn val="ctr"/>
        <c:lblOffset val="100"/>
        <c:noMultiLvlLbl val="0"/>
      </c:catAx>
      <c:valAx>
        <c:axId val="9885557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889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All-India Employment Trend — LFPR, WPR &amp; Unemployment Rate (%)</a:t>
            </a:r>
          </a:p>
        </c:rich>
      </c:tx>
      <c:layout>
        <c:manualLayout>
          <c:xMode val="edge"/>
          <c:yMode val="edge"/>
          <c:x val="0.12252823046323624"/>
          <c:y val="2.4501292587876682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'Raw Data'!$C$67</c:f>
              <c:strCache>
                <c:ptCount val="1"/>
                <c:pt idx="0">
                  <c:v>35.6</c:v>
                </c:pt>
              </c:strCache>
            </c:strRef>
          </c:tx>
          <c:spPr>
            <a:ln w="21960">
              <a:solidFill>
                <a:srgbClr val="1F3864"/>
              </a:solidFill>
              <a:round/>
            </a:ln>
          </c:spPr>
          <c:marker>
            <c:symbol val="circle"/>
            <c:size val="5"/>
            <c:spPr>
              <a:solidFill>
                <a:srgbClr val="1F386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'Raw Data'!$B$68:$B$83</c:f>
              <c:strCache>
                <c:ptCount val="15"/>
                <c:pt idx="0">
                  <c:v>Jul-Sep 18</c:v>
                </c:pt>
                <c:pt idx="1">
                  <c:v>Oct-Dec 18</c:v>
                </c:pt>
                <c:pt idx="2">
                  <c:v>Jan-Mar 19</c:v>
                </c:pt>
                <c:pt idx="3">
                  <c:v>Apr-Jun 19</c:v>
                </c:pt>
                <c:pt idx="4">
                  <c:v>Jul-Sep 19</c:v>
                </c:pt>
                <c:pt idx="5">
                  <c:v>Oct-Dec 19</c:v>
                </c:pt>
                <c:pt idx="6">
                  <c:v>Jan-Mar 20</c:v>
                </c:pt>
                <c:pt idx="7">
                  <c:v>Apr-Jun 20</c:v>
                </c:pt>
                <c:pt idx="8">
                  <c:v>Jul-Sep 20</c:v>
                </c:pt>
                <c:pt idx="9">
                  <c:v>Oct-Dec 20</c:v>
                </c:pt>
                <c:pt idx="10">
                  <c:v>Jan-Mar 21</c:v>
                </c:pt>
                <c:pt idx="11">
                  <c:v>Apr-Jun 21</c:v>
                </c:pt>
                <c:pt idx="12">
                  <c:v>Jul-Sep 21</c:v>
                </c:pt>
                <c:pt idx="13">
                  <c:v>Oct-Dec 21</c:v>
                </c:pt>
                <c:pt idx="14">
                  <c:v>Jan-Mar 22</c:v>
                </c:pt>
              </c:strCache>
            </c:strRef>
          </c:cat>
          <c:val>
            <c:numRef>
              <c:f>'Raw Data'!$C$68:$C$83</c:f>
              <c:numCache>
                <c:formatCode>0.0</c:formatCode>
                <c:ptCount val="16"/>
                <c:pt idx="0">
                  <c:v>36.1</c:v>
                </c:pt>
                <c:pt idx="1">
                  <c:v>36.299999999999997</c:v>
                </c:pt>
                <c:pt idx="2">
                  <c:v>36</c:v>
                </c:pt>
                <c:pt idx="3">
                  <c:v>36.200000000000003</c:v>
                </c:pt>
                <c:pt idx="4">
                  <c:v>36.799999999999997</c:v>
                </c:pt>
                <c:pt idx="5">
                  <c:v>37.200000000000003</c:v>
                </c:pt>
                <c:pt idx="6">
                  <c:v>37.5</c:v>
                </c:pt>
                <c:pt idx="7">
                  <c:v>35.9</c:v>
                </c:pt>
                <c:pt idx="8">
                  <c:v>37</c:v>
                </c:pt>
                <c:pt idx="9">
                  <c:v>37.299999999999997</c:v>
                </c:pt>
                <c:pt idx="10">
                  <c:v>37.5</c:v>
                </c:pt>
                <c:pt idx="11">
                  <c:v>37.1</c:v>
                </c:pt>
                <c:pt idx="12">
                  <c:v>37</c:v>
                </c:pt>
                <c:pt idx="13">
                  <c:v>37.200000000000003</c:v>
                </c:pt>
                <c:pt idx="14">
                  <c:v>37.200000000000003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C2-40F6-94CA-1F5600138E61}"/>
            </c:ext>
          </c:extLst>
        </c:ser>
        <c:ser>
          <c:idx val="1"/>
          <c:order val="1"/>
          <c:tx>
            <c:strRef>
              <c:f>'Raw Data'!$D$67</c:f>
              <c:strCache>
                <c:ptCount val="1"/>
                <c:pt idx="0">
                  <c:v>32.1</c:v>
                </c:pt>
              </c:strCache>
            </c:strRef>
          </c:tx>
          <c:spPr>
            <a:ln w="21960">
              <a:solidFill>
                <a:srgbClr val="0E7C7B"/>
              </a:solidFill>
              <a:round/>
            </a:ln>
          </c:spPr>
          <c:marker>
            <c:symbol val="circle"/>
            <c:size val="5"/>
            <c:spPr>
              <a:solidFill>
                <a:srgbClr val="0E7C7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'Raw Data'!$B$68:$B$83</c:f>
              <c:strCache>
                <c:ptCount val="15"/>
                <c:pt idx="0">
                  <c:v>Jul-Sep 18</c:v>
                </c:pt>
                <c:pt idx="1">
                  <c:v>Oct-Dec 18</c:v>
                </c:pt>
                <c:pt idx="2">
                  <c:v>Jan-Mar 19</c:v>
                </c:pt>
                <c:pt idx="3">
                  <c:v>Apr-Jun 19</c:v>
                </c:pt>
                <c:pt idx="4">
                  <c:v>Jul-Sep 19</c:v>
                </c:pt>
                <c:pt idx="5">
                  <c:v>Oct-Dec 19</c:v>
                </c:pt>
                <c:pt idx="6">
                  <c:v>Jan-Mar 20</c:v>
                </c:pt>
                <c:pt idx="7">
                  <c:v>Apr-Jun 20</c:v>
                </c:pt>
                <c:pt idx="8">
                  <c:v>Jul-Sep 20</c:v>
                </c:pt>
                <c:pt idx="9">
                  <c:v>Oct-Dec 20</c:v>
                </c:pt>
                <c:pt idx="10">
                  <c:v>Jan-Mar 21</c:v>
                </c:pt>
                <c:pt idx="11">
                  <c:v>Apr-Jun 21</c:v>
                </c:pt>
                <c:pt idx="12">
                  <c:v>Jul-Sep 21</c:v>
                </c:pt>
                <c:pt idx="13">
                  <c:v>Oct-Dec 21</c:v>
                </c:pt>
                <c:pt idx="14">
                  <c:v>Jan-Mar 22</c:v>
                </c:pt>
              </c:strCache>
            </c:strRef>
          </c:cat>
          <c:val>
            <c:numRef>
              <c:f>'Raw Data'!$D$68:$D$83</c:f>
              <c:numCache>
                <c:formatCode>0.0</c:formatCode>
                <c:ptCount val="16"/>
                <c:pt idx="0">
                  <c:v>32.6</c:v>
                </c:pt>
                <c:pt idx="1">
                  <c:v>32.700000000000003</c:v>
                </c:pt>
                <c:pt idx="2">
                  <c:v>32.700000000000003</c:v>
                </c:pt>
                <c:pt idx="3">
                  <c:v>32.9</c:v>
                </c:pt>
                <c:pt idx="4">
                  <c:v>33.700000000000003</c:v>
                </c:pt>
                <c:pt idx="5">
                  <c:v>34.200000000000003</c:v>
                </c:pt>
                <c:pt idx="6">
                  <c:v>34.1</c:v>
                </c:pt>
                <c:pt idx="7">
                  <c:v>28.4</c:v>
                </c:pt>
                <c:pt idx="8">
                  <c:v>32.1</c:v>
                </c:pt>
                <c:pt idx="9">
                  <c:v>33.5</c:v>
                </c:pt>
                <c:pt idx="10">
                  <c:v>34</c:v>
                </c:pt>
                <c:pt idx="11">
                  <c:v>32.4</c:v>
                </c:pt>
                <c:pt idx="12">
                  <c:v>33.4</c:v>
                </c:pt>
                <c:pt idx="13">
                  <c:v>33.9</c:v>
                </c:pt>
                <c:pt idx="14">
                  <c:v>34.200000000000003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C2-40F6-94CA-1F5600138E61}"/>
            </c:ext>
          </c:extLst>
        </c:ser>
        <c:ser>
          <c:idx val="2"/>
          <c:order val="2"/>
          <c:tx>
            <c:strRef>
              <c:f>'Raw Data'!$E$67</c:f>
              <c:strCache>
                <c:ptCount val="1"/>
                <c:pt idx="0">
                  <c:v>9.8</c:v>
                </c:pt>
              </c:strCache>
            </c:strRef>
          </c:tx>
          <c:spPr>
            <a:ln w="21960">
              <a:solidFill>
                <a:srgbClr val="E58E26"/>
              </a:solidFill>
              <a:round/>
            </a:ln>
          </c:spPr>
          <c:marker>
            <c:symbol val="circle"/>
            <c:size val="5"/>
            <c:spPr>
              <a:solidFill>
                <a:srgbClr val="E58E2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'Raw Data'!$B$68:$B$83</c:f>
              <c:strCache>
                <c:ptCount val="15"/>
                <c:pt idx="0">
                  <c:v>Jul-Sep 18</c:v>
                </c:pt>
                <c:pt idx="1">
                  <c:v>Oct-Dec 18</c:v>
                </c:pt>
                <c:pt idx="2">
                  <c:v>Jan-Mar 19</c:v>
                </c:pt>
                <c:pt idx="3">
                  <c:v>Apr-Jun 19</c:v>
                </c:pt>
                <c:pt idx="4">
                  <c:v>Jul-Sep 19</c:v>
                </c:pt>
                <c:pt idx="5">
                  <c:v>Oct-Dec 19</c:v>
                </c:pt>
                <c:pt idx="6">
                  <c:v>Jan-Mar 20</c:v>
                </c:pt>
                <c:pt idx="7">
                  <c:v>Apr-Jun 20</c:v>
                </c:pt>
                <c:pt idx="8">
                  <c:v>Jul-Sep 20</c:v>
                </c:pt>
                <c:pt idx="9">
                  <c:v>Oct-Dec 20</c:v>
                </c:pt>
                <c:pt idx="10">
                  <c:v>Jan-Mar 21</c:v>
                </c:pt>
                <c:pt idx="11">
                  <c:v>Apr-Jun 21</c:v>
                </c:pt>
                <c:pt idx="12">
                  <c:v>Jul-Sep 21</c:v>
                </c:pt>
                <c:pt idx="13">
                  <c:v>Oct-Dec 21</c:v>
                </c:pt>
                <c:pt idx="14">
                  <c:v>Jan-Mar 22</c:v>
                </c:pt>
              </c:strCache>
            </c:strRef>
          </c:cat>
          <c:val>
            <c:numRef>
              <c:f>'Raw Data'!$E$68:$E$83</c:f>
              <c:numCache>
                <c:formatCode>0.0</c:formatCode>
                <c:ptCount val="16"/>
                <c:pt idx="0">
                  <c:v>9.6999999999999993</c:v>
                </c:pt>
                <c:pt idx="1">
                  <c:v>9.9</c:v>
                </c:pt>
                <c:pt idx="2">
                  <c:v>9.3000000000000007</c:v>
                </c:pt>
                <c:pt idx="3">
                  <c:v>8.9</c:v>
                </c:pt>
                <c:pt idx="4">
                  <c:v>8.4</c:v>
                </c:pt>
                <c:pt idx="5">
                  <c:v>7.9</c:v>
                </c:pt>
                <c:pt idx="6">
                  <c:v>9.1</c:v>
                </c:pt>
                <c:pt idx="7">
                  <c:v>20.9</c:v>
                </c:pt>
                <c:pt idx="8">
                  <c:v>13.3</c:v>
                </c:pt>
                <c:pt idx="9">
                  <c:v>10.3</c:v>
                </c:pt>
                <c:pt idx="10">
                  <c:v>9.4</c:v>
                </c:pt>
                <c:pt idx="11">
                  <c:v>12.7</c:v>
                </c:pt>
                <c:pt idx="12">
                  <c:v>9.8000000000000007</c:v>
                </c:pt>
                <c:pt idx="13">
                  <c:v>8.8000000000000007</c:v>
                </c:pt>
                <c:pt idx="14">
                  <c:v>8.1999999999999993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C2-40F6-94CA-1F5600138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5847666"/>
        <c:axId val="677875"/>
      </c:lineChart>
      <c:catAx>
        <c:axId val="558476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7875"/>
        <c:crosses val="autoZero"/>
        <c:auto val="1"/>
        <c:lblAlgn val="ctr"/>
        <c:lblOffset val="100"/>
        <c:noMultiLvlLbl val="0"/>
      </c:catAx>
      <c:valAx>
        <c:axId val="6778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8476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Literacy Rate 2011 — Top 8 &amp; Bottom 8 States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'Raw Data'!$O$2</c:f>
              <c:strCache>
                <c:ptCount val="1"/>
              </c:strCache>
            </c:strRef>
          </c:tx>
          <c:spPr>
            <a:solidFill>
              <a:srgbClr val="E58E2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'Raw Data'!$N$3:$N$18</c:f>
              <c:strCache>
                <c:ptCount val="16"/>
                <c:pt idx="0">
                  <c:v>Kerala (Top)</c:v>
                </c:pt>
                <c:pt idx="1">
                  <c:v>Mizoram (Top)</c:v>
                </c:pt>
                <c:pt idx="2">
                  <c:v>Goa (Top)</c:v>
                </c:pt>
                <c:pt idx="3">
                  <c:v>Tripura (Top)</c:v>
                </c:pt>
                <c:pt idx="4">
                  <c:v>Delhi (Top)</c:v>
                </c:pt>
                <c:pt idx="5">
                  <c:v>Puducherry (Top)</c:v>
                </c:pt>
                <c:pt idx="6">
                  <c:v>Himachal Pradesh (Top)</c:v>
                </c:pt>
                <c:pt idx="7">
                  <c:v>Maharashtra (Top)</c:v>
                </c:pt>
                <c:pt idx="8">
                  <c:v>Bihar (Bottom)</c:v>
                </c:pt>
                <c:pt idx="9">
                  <c:v>Arunachal Pradesh (Bottom)</c:v>
                </c:pt>
                <c:pt idx="10">
                  <c:v>Rajasthan (Bottom)</c:v>
                </c:pt>
                <c:pt idx="11">
                  <c:v>Jharkhand (Bottom)</c:v>
                </c:pt>
                <c:pt idx="12">
                  <c:v>Andhra Pradesh (Bottom)</c:v>
                </c:pt>
                <c:pt idx="13">
                  <c:v>Jammu &amp; Kashmir (Bottom)</c:v>
                </c:pt>
                <c:pt idx="14">
                  <c:v>Uttar Pradesh (Bottom)</c:v>
                </c:pt>
                <c:pt idx="15">
                  <c:v>Madhya Pradesh (Bottom)</c:v>
                </c:pt>
              </c:strCache>
            </c:strRef>
          </c:cat>
          <c:val>
            <c:numRef>
              <c:f>'Raw Data'!$O$3:$O$18</c:f>
              <c:numCache>
                <c:formatCode>General</c:formatCode>
                <c:ptCount val="16"/>
                <c:pt idx="0">
                  <c:v>94</c:v>
                </c:pt>
                <c:pt idx="1">
                  <c:v>91.3</c:v>
                </c:pt>
                <c:pt idx="2">
                  <c:v>88.7</c:v>
                </c:pt>
                <c:pt idx="3">
                  <c:v>87.2</c:v>
                </c:pt>
                <c:pt idx="4">
                  <c:v>86.2</c:v>
                </c:pt>
                <c:pt idx="5">
                  <c:v>85.8</c:v>
                </c:pt>
                <c:pt idx="6">
                  <c:v>82.8</c:v>
                </c:pt>
                <c:pt idx="7">
                  <c:v>82.3</c:v>
                </c:pt>
                <c:pt idx="8">
                  <c:v>61.8</c:v>
                </c:pt>
                <c:pt idx="9">
                  <c:v>65.400000000000006</c:v>
                </c:pt>
                <c:pt idx="10">
                  <c:v>66.099999999999994</c:v>
                </c:pt>
                <c:pt idx="11">
                  <c:v>66.400000000000006</c:v>
                </c:pt>
                <c:pt idx="12">
                  <c:v>67</c:v>
                </c:pt>
                <c:pt idx="13">
                  <c:v>67.2</c:v>
                </c:pt>
                <c:pt idx="14">
                  <c:v>67.7</c:v>
                </c:pt>
                <c:pt idx="15">
                  <c:v>69.3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CE-4DFF-849C-C00CB094C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6478934"/>
        <c:axId val="11010211"/>
      </c:barChart>
      <c:catAx>
        <c:axId val="1647893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010211"/>
        <c:crosses val="autoZero"/>
        <c:auto val="1"/>
        <c:lblAlgn val="ctr"/>
        <c:lblOffset val="100"/>
        <c:noMultiLvlLbl val="0"/>
      </c:catAx>
      <c:valAx>
        <c:axId val="1101021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47893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Education &amp; Employment Link: Literacy Rate vs Labour Force Participation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2844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val>
            <c:numRef>
              <c:f>'Raw Data'!$R$3:$R$24</c:f>
              <c:numCache>
                <c:formatCode>General</c:formatCode>
                <c:ptCount val="22"/>
                <c:pt idx="0">
                  <c:v>67</c:v>
                </c:pt>
                <c:pt idx="1">
                  <c:v>72.2</c:v>
                </c:pt>
                <c:pt idx="2">
                  <c:v>61.8</c:v>
                </c:pt>
                <c:pt idx="3">
                  <c:v>70.3</c:v>
                </c:pt>
                <c:pt idx="4">
                  <c:v>86.2</c:v>
                </c:pt>
                <c:pt idx="5">
                  <c:v>78</c:v>
                </c:pt>
                <c:pt idx="6">
                  <c:v>75.599999999999994</c:v>
                </c:pt>
                <c:pt idx="7">
                  <c:v>82.8</c:v>
                </c:pt>
                <c:pt idx="8">
                  <c:v>67.2</c:v>
                </c:pt>
                <c:pt idx="9">
                  <c:v>66.400000000000006</c:v>
                </c:pt>
                <c:pt idx="10">
                  <c:v>75.400000000000006</c:v>
                </c:pt>
                <c:pt idx="11">
                  <c:v>94</c:v>
                </c:pt>
                <c:pt idx="12">
                  <c:v>69.3</c:v>
                </c:pt>
                <c:pt idx="13">
                  <c:v>82.3</c:v>
                </c:pt>
                <c:pt idx="14">
                  <c:v>72.900000000000006</c:v>
                </c:pt>
                <c:pt idx="15">
                  <c:v>75.8</c:v>
                </c:pt>
                <c:pt idx="16">
                  <c:v>66.099999999999994</c:v>
                </c:pt>
                <c:pt idx="17">
                  <c:v>80.099999999999994</c:v>
                </c:pt>
                <c:pt idx="19">
                  <c:v>67.7</c:v>
                </c:pt>
                <c:pt idx="20">
                  <c:v>78.8</c:v>
                </c:pt>
                <c:pt idx="21">
                  <c:v>76.3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8A-4DA6-A333-A676D9A3D2C8}"/>
            </c:ext>
          </c:extLst>
        </c:ser>
        <c:ser>
          <c:idx val="1"/>
          <c:order val="1"/>
          <c:invertIfNegative val="0"/>
          <c:val>
            <c:numRef>
              <c:f>'Raw Data'!$S$3:$S$24</c:f>
              <c:numCache>
                <c:formatCode>General</c:formatCode>
                <c:ptCount val="22"/>
                <c:pt idx="0">
                  <c:v>38.4</c:v>
                </c:pt>
                <c:pt idx="1">
                  <c:v>39.4</c:v>
                </c:pt>
                <c:pt idx="2">
                  <c:v>28.9</c:v>
                </c:pt>
                <c:pt idx="3">
                  <c:v>38.9</c:v>
                </c:pt>
                <c:pt idx="4">
                  <c:v>33.799999999999997</c:v>
                </c:pt>
                <c:pt idx="5">
                  <c:v>38.700000000000003</c:v>
                </c:pt>
                <c:pt idx="6">
                  <c:v>34.4</c:v>
                </c:pt>
                <c:pt idx="7">
                  <c:v>43.2</c:v>
                </c:pt>
                <c:pt idx="8">
                  <c:v>37.5</c:v>
                </c:pt>
                <c:pt idx="9">
                  <c:v>31.3</c:v>
                </c:pt>
                <c:pt idx="10">
                  <c:v>39.1</c:v>
                </c:pt>
                <c:pt idx="11">
                  <c:v>37.1</c:v>
                </c:pt>
                <c:pt idx="12">
                  <c:v>35.299999999999997</c:v>
                </c:pt>
                <c:pt idx="13">
                  <c:v>39.200000000000003</c:v>
                </c:pt>
                <c:pt idx="14">
                  <c:v>39.1</c:v>
                </c:pt>
                <c:pt idx="15">
                  <c:v>40</c:v>
                </c:pt>
                <c:pt idx="16">
                  <c:v>33.6</c:v>
                </c:pt>
                <c:pt idx="17">
                  <c:v>41.6</c:v>
                </c:pt>
                <c:pt idx="18">
                  <c:v>38.4</c:v>
                </c:pt>
                <c:pt idx="19">
                  <c:v>31.7</c:v>
                </c:pt>
                <c:pt idx="20">
                  <c:v>37.200000000000003</c:v>
                </c:pt>
                <c:pt idx="21">
                  <c:v>40.799999999999997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8A-4DA6-A333-A676D9A3D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801907"/>
        <c:axId val="46037230"/>
      </c:barChart>
      <c:catAx>
        <c:axId val="5880190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Literacy Rate 2011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037230"/>
        <c:crosses val="autoZero"/>
        <c:auto val="1"/>
        <c:lblAlgn val="ctr"/>
        <c:lblOffset val="100"/>
        <c:noMultiLvlLbl val="1"/>
      </c:catAx>
      <c:valAx>
        <c:axId val="460372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LFPR Jan-Mar 2022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8019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82062</xdr:colOff>
      <xdr:row>11</xdr:row>
      <xdr:rowOff>160560</xdr:rowOff>
    </xdr:from>
    <xdr:to>
      <xdr:col>7</xdr:col>
      <xdr:colOff>344142</xdr:colOff>
      <xdr:row>24</xdr:row>
      <xdr:rowOff>114747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536375</xdr:colOff>
      <xdr:row>12</xdr:row>
      <xdr:rowOff>13603</xdr:rowOff>
    </xdr:from>
    <xdr:to>
      <xdr:col>14</xdr:col>
      <xdr:colOff>203735</xdr:colOff>
      <xdr:row>24</xdr:row>
      <xdr:rowOff>143952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95250</xdr:colOff>
      <xdr:row>25</xdr:row>
      <xdr:rowOff>106492</xdr:rowOff>
    </xdr:from>
    <xdr:to>
      <xdr:col>7</xdr:col>
      <xdr:colOff>357330</xdr:colOff>
      <xdr:row>44</xdr:row>
      <xdr:rowOff>86332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523875</xdr:colOff>
      <xdr:row>25</xdr:row>
      <xdr:rowOff>120098</xdr:rowOff>
    </xdr:from>
    <xdr:to>
      <xdr:col>14</xdr:col>
      <xdr:colOff>193685</xdr:colOff>
      <xdr:row>44</xdr:row>
      <xdr:rowOff>99938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6"/>
  <sheetViews>
    <sheetView showGridLines="0" tabSelected="1" topLeftCell="A8" zoomScale="98" zoomScaleNormal="98" workbookViewId="0">
      <selection activeCell="Q42" sqref="Q42"/>
    </sheetView>
  </sheetViews>
  <sheetFormatPr defaultColWidth="8.6640625" defaultRowHeight="14.4" x14ac:dyDescent="0.3"/>
  <cols>
    <col min="1" max="1" width="2" customWidth="1"/>
    <col min="2" max="13" width="13" customWidth="1"/>
  </cols>
  <sheetData>
    <row r="2" spans="2:13" x14ac:dyDescent="0.3"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2:13" x14ac:dyDescent="0.3"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2:13" x14ac:dyDescent="0.3"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2:13" ht="18" customHeight="1" x14ac:dyDescent="0.3"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</row>
    <row r="7" spans="2:13" ht="21.75" customHeight="1" x14ac:dyDescent="0.3">
      <c r="B7" s="12" t="s">
        <v>1</v>
      </c>
      <c r="C7" s="12"/>
      <c r="D7" s="12"/>
      <c r="E7" s="11" t="s">
        <v>2</v>
      </c>
      <c r="F7" s="11"/>
      <c r="G7" s="11"/>
      <c r="H7" s="12" t="s">
        <v>3</v>
      </c>
      <c r="I7" s="12"/>
      <c r="J7" s="12"/>
      <c r="K7" s="11" t="s">
        <v>4</v>
      </c>
      <c r="L7" s="11"/>
      <c r="M7" s="11"/>
    </row>
    <row r="8" spans="2:13" x14ac:dyDescent="0.3">
      <c r="B8" s="10">
        <f>'Raw Data'!F35</f>
        <v>27.3</v>
      </c>
      <c r="C8" s="10"/>
      <c r="D8" s="10"/>
      <c r="E8" s="10">
        <f>'Raw Data'!G35</f>
        <v>73</v>
      </c>
      <c r="F8" s="10"/>
      <c r="G8" s="10"/>
      <c r="H8" s="10">
        <f>'Raw Data'!D62</f>
        <v>34.200000000000003</v>
      </c>
      <c r="I8" s="10"/>
      <c r="J8" s="10"/>
      <c r="K8" s="10">
        <f>'Raw Data'!E62</f>
        <v>8.1999999999999993</v>
      </c>
      <c r="L8" s="10"/>
      <c r="M8" s="10"/>
    </row>
    <row r="9" spans="2:13" ht="27.75" customHeight="1" x14ac:dyDescent="0.3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spans="2:13" x14ac:dyDescent="0.3"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  <row r="13" spans="2:13" ht="30" customHeight="1" x14ac:dyDescent="0.3"/>
    <row r="14" spans="2:13" ht="30" customHeight="1" x14ac:dyDescent="0.3"/>
    <row r="15" spans="2:13" ht="30" customHeight="1" x14ac:dyDescent="0.3"/>
    <row r="16" spans="2:13" ht="30" customHeight="1" x14ac:dyDescent="0.3"/>
  </sheetData>
  <mergeCells count="14">
    <mergeCell ref="B8:D9"/>
    <mergeCell ref="E8:G9"/>
    <mergeCell ref="H8:J9"/>
    <mergeCell ref="K8:M9"/>
    <mergeCell ref="B10:D10"/>
    <mergeCell ref="E10:G10"/>
    <mergeCell ref="H10:J10"/>
    <mergeCell ref="K10:M10"/>
    <mergeCell ref="B2:M4"/>
    <mergeCell ref="B5:M5"/>
    <mergeCell ref="B7:D7"/>
    <mergeCell ref="E7:G7"/>
    <mergeCell ref="H7:J7"/>
    <mergeCell ref="K7:M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12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3" width="34" customWidth="1"/>
    <col min="4" max="8" width="20" customWidth="1"/>
  </cols>
  <sheetData>
    <row r="2" spans="2:8" x14ac:dyDescent="0.3">
      <c r="B2" s="6" t="s">
        <v>0</v>
      </c>
      <c r="C2" s="6"/>
      <c r="D2" s="6"/>
      <c r="E2" s="6"/>
      <c r="F2" s="6"/>
      <c r="G2" s="6"/>
      <c r="H2" s="6"/>
    </row>
    <row r="3" spans="2:8" x14ac:dyDescent="0.3">
      <c r="B3" s="6"/>
      <c r="C3" s="6"/>
      <c r="D3" s="6"/>
      <c r="E3" s="6"/>
      <c r="F3" s="6"/>
      <c r="G3" s="6"/>
      <c r="H3" s="6"/>
    </row>
    <row r="4" spans="2:8" x14ac:dyDescent="0.3">
      <c r="B4" s="5" t="s">
        <v>5</v>
      </c>
      <c r="C4" s="5"/>
      <c r="D4" s="5"/>
      <c r="E4" s="5"/>
      <c r="F4" s="5"/>
      <c r="G4" s="5"/>
      <c r="H4" s="5"/>
    </row>
    <row r="6" spans="2:8" ht="16.8" x14ac:dyDescent="0.3">
      <c r="B6" s="4" t="s">
        <v>6</v>
      </c>
      <c r="C6" s="4"/>
      <c r="D6" s="4"/>
      <c r="E6" s="4"/>
      <c r="F6" s="4"/>
      <c r="G6" s="4"/>
      <c r="H6" s="4"/>
    </row>
    <row r="7" spans="2:8" ht="30" customHeight="1" x14ac:dyDescent="0.3">
      <c r="B7" s="15" t="s">
        <v>7</v>
      </c>
      <c r="C7" s="7" t="s">
        <v>8</v>
      </c>
      <c r="D7" s="7"/>
      <c r="E7" s="7"/>
      <c r="F7" s="7"/>
      <c r="G7" s="7"/>
      <c r="H7" s="7"/>
    </row>
    <row r="8" spans="2:8" ht="30" customHeight="1" x14ac:dyDescent="0.3">
      <c r="B8" s="15" t="s">
        <v>9</v>
      </c>
      <c r="C8" s="7" t="s">
        <v>10</v>
      </c>
      <c r="D8" s="7"/>
      <c r="E8" s="7"/>
      <c r="F8" s="7"/>
      <c r="G8" s="7"/>
      <c r="H8" s="7"/>
    </row>
    <row r="9" spans="2:8" ht="30" customHeight="1" x14ac:dyDescent="0.3">
      <c r="B9" s="15" t="s">
        <v>11</v>
      </c>
      <c r="C9" s="7" t="s">
        <v>12</v>
      </c>
      <c r="D9" s="7"/>
      <c r="E9" s="7"/>
      <c r="F9" s="7"/>
      <c r="G9" s="7"/>
      <c r="H9" s="7"/>
    </row>
    <row r="10" spans="2:8" ht="30" customHeight="1" x14ac:dyDescent="0.3">
      <c r="B10" s="15"/>
      <c r="C10" s="7"/>
      <c r="D10" s="7"/>
      <c r="E10" s="7"/>
      <c r="F10" s="7"/>
      <c r="G10" s="7"/>
      <c r="H10" s="7"/>
    </row>
    <row r="11" spans="2:8" ht="30" customHeight="1" x14ac:dyDescent="0.3">
      <c r="B11" s="15" t="s">
        <v>13</v>
      </c>
      <c r="C11" s="7" t="s">
        <v>14</v>
      </c>
      <c r="D11" s="7"/>
      <c r="E11" s="7"/>
      <c r="F11" s="7"/>
      <c r="G11" s="7"/>
      <c r="H11" s="7"/>
    </row>
    <row r="12" spans="2:8" ht="30" customHeight="1" x14ac:dyDescent="0.3">
      <c r="B12" s="15" t="s">
        <v>15</v>
      </c>
      <c r="C12" s="7" t="s">
        <v>16</v>
      </c>
      <c r="D12" s="7"/>
      <c r="E12" s="7"/>
      <c r="F12" s="7"/>
      <c r="G12" s="7"/>
      <c r="H12" s="7"/>
    </row>
  </sheetData>
  <mergeCells count="9">
    <mergeCell ref="C9:H9"/>
    <mergeCell ref="C10:H10"/>
    <mergeCell ref="C11:H11"/>
    <mergeCell ref="C12:H12"/>
    <mergeCell ref="B2:H3"/>
    <mergeCell ref="B4:H4"/>
    <mergeCell ref="B6:H6"/>
    <mergeCell ref="C7:H7"/>
    <mergeCell ref="C8:H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S84"/>
  <sheetViews>
    <sheetView showGridLines="0" zoomScale="63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640625" defaultRowHeight="14.4" x14ac:dyDescent="0.3"/>
  <cols>
    <col min="2" max="2" width="20" customWidth="1"/>
    <col min="3" max="8" width="16" customWidth="1"/>
    <col min="9" max="9" width="12" customWidth="1"/>
  </cols>
  <sheetData>
    <row r="2" spans="2:19" ht="17.399999999999999" x14ac:dyDescent="0.3">
      <c r="B2" s="8" t="s">
        <v>17</v>
      </c>
      <c r="C2" s="8"/>
      <c r="D2" s="8"/>
      <c r="E2" s="8"/>
      <c r="F2" s="8"/>
      <c r="G2" s="8"/>
      <c r="H2" s="8"/>
      <c r="I2" s="8"/>
      <c r="K2" s="16" t="s">
        <v>18</v>
      </c>
      <c r="N2" t="s">
        <v>19</v>
      </c>
      <c r="Q2" t="s">
        <v>20</v>
      </c>
      <c r="R2" t="s">
        <v>21</v>
      </c>
      <c r="S2" t="s">
        <v>22</v>
      </c>
    </row>
    <row r="3" spans="2:19" ht="31.5" customHeight="1" x14ac:dyDescent="0.3">
      <c r="B3" s="17" t="s">
        <v>23</v>
      </c>
      <c r="C3" s="17" t="s">
        <v>24</v>
      </c>
      <c r="D3" s="17" t="s">
        <v>25</v>
      </c>
      <c r="E3" s="17" t="s">
        <v>26</v>
      </c>
      <c r="F3" s="17" t="s">
        <v>27</v>
      </c>
      <c r="G3" s="17" t="s">
        <v>28</v>
      </c>
      <c r="H3" s="17" t="s">
        <v>29</v>
      </c>
      <c r="I3" s="17" t="s">
        <v>30</v>
      </c>
      <c r="K3" t="s">
        <v>31</v>
      </c>
      <c r="L3">
        <v>60.8</v>
      </c>
      <c r="N3" t="s">
        <v>32</v>
      </c>
      <c r="O3">
        <v>94</v>
      </c>
      <c r="Q3" t="s">
        <v>33</v>
      </c>
      <c r="R3">
        <v>67</v>
      </c>
      <c r="S3">
        <v>38.4</v>
      </c>
    </row>
    <row r="4" spans="2:19" x14ac:dyDescent="0.3">
      <c r="B4" s="18" t="s">
        <v>33</v>
      </c>
      <c r="C4" s="19">
        <v>100.1</v>
      </c>
      <c r="D4" s="19">
        <v>85.4</v>
      </c>
      <c r="E4" s="19">
        <v>56.7</v>
      </c>
      <c r="F4" s="19">
        <v>37.200000000000003</v>
      </c>
      <c r="G4" s="20">
        <v>67</v>
      </c>
      <c r="H4" s="20">
        <v>45</v>
      </c>
      <c r="I4" s="20">
        <v>2601</v>
      </c>
      <c r="K4" t="s">
        <v>34</v>
      </c>
      <c r="L4">
        <v>47.6</v>
      </c>
      <c r="N4" t="s">
        <v>35</v>
      </c>
      <c r="O4">
        <v>91.3</v>
      </c>
      <c r="Q4" t="s">
        <v>36</v>
      </c>
      <c r="R4">
        <v>72.2</v>
      </c>
      <c r="S4">
        <v>39.4</v>
      </c>
    </row>
    <row r="5" spans="2:19" x14ac:dyDescent="0.3">
      <c r="B5" s="21" t="s">
        <v>37</v>
      </c>
      <c r="C5" s="22">
        <v>109.9</v>
      </c>
      <c r="D5" s="22">
        <v>66.5</v>
      </c>
      <c r="E5" s="22">
        <v>53.7</v>
      </c>
      <c r="F5" s="22">
        <v>33.700000000000003</v>
      </c>
      <c r="G5" s="23">
        <v>65.400000000000006</v>
      </c>
      <c r="H5" s="23">
        <v>10</v>
      </c>
      <c r="I5" s="23">
        <v>42</v>
      </c>
      <c r="K5" t="s">
        <v>38</v>
      </c>
      <c r="L5">
        <v>46.9</v>
      </c>
      <c r="N5" t="s">
        <v>39</v>
      </c>
      <c r="O5">
        <v>88.7</v>
      </c>
      <c r="Q5" t="s">
        <v>40</v>
      </c>
      <c r="R5">
        <v>61.8</v>
      </c>
      <c r="S5">
        <v>28.9</v>
      </c>
    </row>
    <row r="6" spans="2:19" x14ac:dyDescent="0.3">
      <c r="B6" s="18" t="s">
        <v>36</v>
      </c>
      <c r="C6" s="19">
        <v>109.8</v>
      </c>
      <c r="D6" s="19">
        <v>74.5</v>
      </c>
      <c r="E6" s="19">
        <v>40.1</v>
      </c>
      <c r="F6" s="19">
        <v>17.5</v>
      </c>
      <c r="G6" s="20">
        <v>72.2</v>
      </c>
      <c r="H6" s="20">
        <v>28</v>
      </c>
      <c r="I6" s="20">
        <v>595</v>
      </c>
      <c r="K6" t="s">
        <v>41</v>
      </c>
      <c r="L6">
        <v>45.7</v>
      </c>
      <c r="N6" t="s">
        <v>42</v>
      </c>
      <c r="O6">
        <v>87.2</v>
      </c>
      <c r="Q6" t="s">
        <v>43</v>
      </c>
      <c r="R6">
        <v>70.3</v>
      </c>
      <c r="S6">
        <v>38.9</v>
      </c>
    </row>
    <row r="7" spans="2:19" x14ac:dyDescent="0.3">
      <c r="B7" s="21" t="s">
        <v>40</v>
      </c>
      <c r="C7" s="22">
        <v>96.2</v>
      </c>
      <c r="D7" s="22">
        <v>64.900000000000006</v>
      </c>
      <c r="E7" s="22">
        <v>35.9</v>
      </c>
      <c r="F7" s="22">
        <v>15.9</v>
      </c>
      <c r="G7" s="23">
        <v>61.8</v>
      </c>
      <c r="H7" s="23">
        <v>37</v>
      </c>
      <c r="I7" s="23">
        <v>1035</v>
      </c>
      <c r="K7" t="s">
        <v>44</v>
      </c>
      <c r="L7">
        <v>43.2</v>
      </c>
      <c r="N7" t="s">
        <v>45</v>
      </c>
      <c r="O7">
        <v>86.2</v>
      </c>
      <c r="Q7" t="s">
        <v>34</v>
      </c>
      <c r="R7">
        <v>86.2</v>
      </c>
      <c r="S7">
        <v>33.799999999999997</v>
      </c>
    </row>
    <row r="8" spans="2:19" x14ac:dyDescent="0.3">
      <c r="B8" s="18" t="s">
        <v>43</v>
      </c>
      <c r="C8" s="19">
        <v>95.9</v>
      </c>
      <c r="D8" s="19">
        <v>78.3</v>
      </c>
      <c r="E8" s="19">
        <v>68.099999999999994</v>
      </c>
      <c r="F8" s="19">
        <v>19.600000000000001</v>
      </c>
      <c r="G8" s="20">
        <v>70.3</v>
      </c>
      <c r="H8" s="20">
        <v>32</v>
      </c>
      <c r="I8" s="20">
        <v>870</v>
      </c>
      <c r="K8" t="s">
        <v>46</v>
      </c>
      <c r="L8">
        <v>39.9</v>
      </c>
      <c r="N8" t="s">
        <v>47</v>
      </c>
      <c r="O8">
        <v>85.8</v>
      </c>
      <c r="Q8" t="s">
        <v>48</v>
      </c>
      <c r="R8">
        <v>78</v>
      </c>
      <c r="S8">
        <v>38.700000000000003</v>
      </c>
    </row>
    <row r="9" spans="2:19" x14ac:dyDescent="0.3">
      <c r="B9" s="21" t="s">
        <v>34</v>
      </c>
      <c r="C9" s="22">
        <v>121.3</v>
      </c>
      <c r="D9" s="22">
        <v>111.2</v>
      </c>
      <c r="E9" s="22">
        <v>94.9</v>
      </c>
      <c r="F9" s="22">
        <v>47.6</v>
      </c>
      <c r="G9" s="23">
        <v>86.2</v>
      </c>
      <c r="H9" s="23">
        <v>28</v>
      </c>
      <c r="I9" s="23">
        <v>180</v>
      </c>
      <c r="K9" t="s">
        <v>49</v>
      </c>
      <c r="L9">
        <v>39.1</v>
      </c>
      <c r="N9" t="s">
        <v>50</v>
      </c>
      <c r="O9">
        <v>82.8</v>
      </c>
      <c r="Q9" t="s">
        <v>51</v>
      </c>
      <c r="R9">
        <v>75.599999999999994</v>
      </c>
      <c r="S9">
        <v>34.4</v>
      </c>
    </row>
    <row r="10" spans="2:19" x14ac:dyDescent="0.3">
      <c r="B10" s="18" t="s">
        <v>52</v>
      </c>
      <c r="C10" s="19">
        <v>91.1</v>
      </c>
      <c r="D10" s="19">
        <v>83</v>
      </c>
      <c r="E10" s="19">
        <v>73.7</v>
      </c>
      <c r="F10" s="19">
        <v>33.799999999999997</v>
      </c>
      <c r="G10" s="20">
        <v>88.7</v>
      </c>
      <c r="H10" s="20">
        <v>3</v>
      </c>
      <c r="I10" s="20">
        <v>61</v>
      </c>
      <c r="K10" t="s">
        <v>53</v>
      </c>
      <c r="L10">
        <v>38.700000000000003</v>
      </c>
      <c r="N10" t="s">
        <v>54</v>
      </c>
      <c r="O10">
        <v>82.3</v>
      </c>
      <c r="Q10" t="s">
        <v>53</v>
      </c>
      <c r="R10">
        <v>82.8</v>
      </c>
      <c r="S10">
        <v>43.2</v>
      </c>
    </row>
    <row r="11" spans="2:19" x14ac:dyDescent="0.3">
      <c r="B11" s="21" t="s">
        <v>48</v>
      </c>
      <c r="C11" s="22">
        <v>92.4</v>
      </c>
      <c r="D11" s="22">
        <v>75.2</v>
      </c>
      <c r="E11" s="22">
        <v>48.2</v>
      </c>
      <c r="F11" s="22">
        <v>22.2</v>
      </c>
      <c r="G11" s="23">
        <v>78</v>
      </c>
      <c r="H11" s="23">
        <v>83</v>
      </c>
      <c r="I11" s="23">
        <v>2267</v>
      </c>
      <c r="K11" t="s">
        <v>55</v>
      </c>
      <c r="L11">
        <v>37.799999999999997</v>
      </c>
      <c r="N11" t="s">
        <v>56</v>
      </c>
      <c r="O11">
        <v>61.8</v>
      </c>
      <c r="Q11" t="s">
        <v>57</v>
      </c>
      <c r="R11">
        <v>67.2</v>
      </c>
      <c r="S11">
        <v>37.5</v>
      </c>
    </row>
    <row r="12" spans="2:19" x14ac:dyDescent="0.3">
      <c r="B12" s="18" t="s">
        <v>51</v>
      </c>
      <c r="C12" s="19">
        <v>103.2</v>
      </c>
      <c r="D12" s="19">
        <v>94.7</v>
      </c>
      <c r="E12" s="19">
        <v>75.5</v>
      </c>
      <c r="F12" s="19">
        <v>31.1</v>
      </c>
      <c r="G12" s="20">
        <v>75.599999999999994</v>
      </c>
      <c r="H12" s="20">
        <v>53</v>
      </c>
      <c r="I12" s="20">
        <v>1083</v>
      </c>
      <c r="K12" t="s">
        <v>33</v>
      </c>
      <c r="L12">
        <v>37.200000000000003</v>
      </c>
      <c r="N12" t="s">
        <v>58</v>
      </c>
      <c r="O12">
        <v>65.400000000000006</v>
      </c>
      <c r="Q12" t="s">
        <v>59</v>
      </c>
      <c r="R12">
        <v>66.400000000000006</v>
      </c>
      <c r="S12">
        <v>31.3</v>
      </c>
    </row>
    <row r="13" spans="2:19" x14ac:dyDescent="0.3">
      <c r="B13" s="21" t="s">
        <v>53</v>
      </c>
      <c r="C13" s="22">
        <v>106</v>
      </c>
      <c r="D13" s="22">
        <v>94.1</v>
      </c>
      <c r="E13" s="22">
        <v>94.1</v>
      </c>
      <c r="F13" s="22">
        <v>38.700000000000003</v>
      </c>
      <c r="G13" s="23">
        <v>82.8</v>
      </c>
      <c r="H13" s="23">
        <v>29</v>
      </c>
      <c r="I13" s="23">
        <v>348</v>
      </c>
      <c r="N13" t="s">
        <v>60</v>
      </c>
      <c r="O13">
        <v>66.099999999999994</v>
      </c>
      <c r="Q13" t="s">
        <v>61</v>
      </c>
      <c r="R13">
        <v>75.400000000000006</v>
      </c>
      <c r="S13">
        <v>39.1</v>
      </c>
    </row>
    <row r="14" spans="2:19" x14ac:dyDescent="0.3">
      <c r="B14" s="18" t="s">
        <v>57</v>
      </c>
      <c r="C14" s="19">
        <v>90.1</v>
      </c>
      <c r="D14" s="19">
        <v>60.5</v>
      </c>
      <c r="E14" s="19">
        <v>53.2</v>
      </c>
      <c r="F14" s="19">
        <v>25</v>
      </c>
      <c r="G14" s="20">
        <v>67.2</v>
      </c>
      <c r="H14" s="20">
        <v>15</v>
      </c>
      <c r="I14" s="20">
        <v>348</v>
      </c>
      <c r="N14" t="s">
        <v>62</v>
      </c>
      <c r="O14">
        <v>66.400000000000006</v>
      </c>
      <c r="Q14" t="s">
        <v>44</v>
      </c>
      <c r="R14">
        <v>94</v>
      </c>
      <c r="S14">
        <v>37.1</v>
      </c>
    </row>
    <row r="15" spans="2:19" x14ac:dyDescent="0.3">
      <c r="B15" s="21" t="s">
        <v>59</v>
      </c>
      <c r="C15" s="22">
        <v>97</v>
      </c>
      <c r="D15" s="22">
        <v>68.400000000000006</v>
      </c>
      <c r="E15" s="22">
        <v>46.4</v>
      </c>
      <c r="F15" s="22">
        <v>17</v>
      </c>
      <c r="G15" s="23">
        <v>66.400000000000006</v>
      </c>
      <c r="H15" s="23">
        <v>32</v>
      </c>
      <c r="I15" s="23">
        <v>336</v>
      </c>
      <c r="N15" t="s">
        <v>63</v>
      </c>
      <c r="O15">
        <v>67</v>
      </c>
      <c r="Q15" t="s">
        <v>64</v>
      </c>
      <c r="R15">
        <v>69.3</v>
      </c>
      <c r="S15">
        <v>35.299999999999997</v>
      </c>
    </row>
    <row r="16" spans="2:19" x14ac:dyDescent="0.3">
      <c r="B16" s="18" t="s">
        <v>61</v>
      </c>
      <c r="C16" s="19">
        <v>107.1</v>
      </c>
      <c r="D16" s="19">
        <v>94.7</v>
      </c>
      <c r="E16" s="19">
        <v>56.6</v>
      </c>
      <c r="F16" s="19">
        <v>36</v>
      </c>
      <c r="G16" s="20">
        <v>75.400000000000006</v>
      </c>
      <c r="H16" s="20">
        <v>72</v>
      </c>
      <c r="I16" s="20">
        <v>4233</v>
      </c>
      <c r="N16" t="s">
        <v>65</v>
      </c>
      <c r="O16">
        <v>67.2</v>
      </c>
      <c r="Q16" t="s">
        <v>66</v>
      </c>
      <c r="R16">
        <v>82.3</v>
      </c>
      <c r="S16">
        <v>39.200000000000003</v>
      </c>
    </row>
    <row r="17" spans="2:19" x14ac:dyDescent="0.3">
      <c r="B17" s="21" t="s">
        <v>44</v>
      </c>
      <c r="C17" s="22">
        <v>101</v>
      </c>
      <c r="D17" s="22">
        <v>97.9</v>
      </c>
      <c r="E17" s="22">
        <v>85</v>
      </c>
      <c r="F17" s="22">
        <v>43.2</v>
      </c>
      <c r="G17" s="23">
        <v>94</v>
      </c>
      <c r="H17" s="23">
        <v>23</v>
      </c>
      <c r="I17" s="23">
        <v>1448</v>
      </c>
      <c r="N17" t="s">
        <v>67</v>
      </c>
      <c r="O17">
        <v>67.7</v>
      </c>
      <c r="Q17" t="s">
        <v>68</v>
      </c>
      <c r="R17">
        <v>72.900000000000006</v>
      </c>
      <c r="S17">
        <v>39.1</v>
      </c>
    </row>
    <row r="18" spans="2:19" x14ac:dyDescent="0.3">
      <c r="B18" s="18" t="s">
        <v>64</v>
      </c>
      <c r="C18" s="19">
        <v>88.7</v>
      </c>
      <c r="D18" s="19">
        <v>70</v>
      </c>
      <c r="E18" s="19">
        <v>51.3</v>
      </c>
      <c r="F18" s="19">
        <v>27.1</v>
      </c>
      <c r="G18" s="20">
        <v>69.3</v>
      </c>
      <c r="H18" s="20">
        <v>74</v>
      </c>
      <c r="I18" s="20">
        <v>2610</v>
      </c>
      <c r="N18" t="s">
        <v>69</v>
      </c>
      <c r="O18">
        <v>69.3</v>
      </c>
      <c r="Q18" t="s">
        <v>70</v>
      </c>
      <c r="R18">
        <v>75.8</v>
      </c>
      <c r="S18">
        <v>40</v>
      </c>
    </row>
    <row r="19" spans="2:19" x14ac:dyDescent="0.3">
      <c r="B19" s="21" t="s">
        <v>66</v>
      </c>
      <c r="C19" s="22">
        <v>104.3</v>
      </c>
      <c r="D19" s="22">
        <v>93.7</v>
      </c>
      <c r="E19" s="22">
        <v>71.5</v>
      </c>
      <c r="F19" s="22">
        <v>34.9</v>
      </c>
      <c r="G19" s="23">
        <v>82.3</v>
      </c>
      <c r="H19" s="23">
        <v>71</v>
      </c>
      <c r="I19" s="23">
        <v>4532</v>
      </c>
      <c r="Q19" t="s">
        <v>71</v>
      </c>
      <c r="R19">
        <v>66.099999999999994</v>
      </c>
      <c r="S19">
        <v>33.6</v>
      </c>
    </row>
    <row r="20" spans="2:19" x14ac:dyDescent="0.3">
      <c r="B20" s="18" t="s">
        <v>55</v>
      </c>
      <c r="C20" s="19">
        <v>117.6</v>
      </c>
      <c r="D20" s="19">
        <v>76</v>
      </c>
      <c r="E20" s="19">
        <v>69.900000000000006</v>
      </c>
      <c r="F20" s="19">
        <v>37.799999999999997</v>
      </c>
      <c r="G20" s="20">
        <v>76.900000000000006</v>
      </c>
      <c r="H20" s="20">
        <v>9</v>
      </c>
      <c r="I20" s="20">
        <v>105</v>
      </c>
      <c r="Q20" t="s">
        <v>38</v>
      </c>
      <c r="R20">
        <v>80.099999999999994</v>
      </c>
      <c r="S20">
        <v>41.6</v>
      </c>
    </row>
    <row r="21" spans="2:19" x14ac:dyDescent="0.3">
      <c r="B21" s="21" t="s">
        <v>72</v>
      </c>
      <c r="C21" s="22">
        <v>155.69999999999999</v>
      </c>
      <c r="D21" s="22">
        <v>85.1</v>
      </c>
      <c r="E21" s="22">
        <v>46</v>
      </c>
      <c r="F21" s="22">
        <v>25.8</v>
      </c>
      <c r="G21" s="23">
        <v>74.400000000000006</v>
      </c>
      <c r="H21" s="23">
        <v>11</v>
      </c>
      <c r="I21" s="23">
        <v>75</v>
      </c>
      <c r="Q21" t="s">
        <v>49</v>
      </c>
      <c r="S21">
        <v>38.4</v>
      </c>
    </row>
    <row r="22" spans="2:19" x14ac:dyDescent="0.3">
      <c r="B22" s="18" t="s">
        <v>73</v>
      </c>
      <c r="C22" s="19">
        <v>137.5</v>
      </c>
      <c r="D22" s="19">
        <v>93.4</v>
      </c>
      <c r="E22" s="19">
        <v>61.3</v>
      </c>
      <c r="F22" s="19">
        <v>26.8</v>
      </c>
      <c r="G22" s="20">
        <v>91.3</v>
      </c>
      <c r="H22" s="20">
        <v>3</v>
      </c>
      <c r="I22" s="20">
        <v>39</v>
      </c>
      <c r="Q22" t="s">
        <v>74</v>
      </c>
      <c r="R22">
        <v>67.7</v>
      </c>
      <c r="S22">
        <v>31.7</v>
      </c>
    </row>
    <row r="23" spans="2:19" x14ac:dyDescent="0.3">
      <c r="B23" s="21" t="s">
        <v>75</v>
      </c>
      <c r="C23" s="22">
        <v>87.3</v>
      </c>
      <c r="D23" s="22">
        <v>62.2</v>
      </c>
      <c r="E23" s="22">
        <v>35.799999999999997</v>
      </c>
      <c r="F23" s="22">
        <v>17.3</v>
      </c>
      <c r="G23" s="23">
        <v>79.599999999999994</v>
      </c>
      <c r="H23" s="23">
        <v>5</v>
      </c>
      <c r="I23" s="23">
        <v>68</v>
      </c>
      <c r="Q23" t="s">
        <v>41</v>
      </c>
      <c r="R23">
        <v>78.8</v>
      </c>
      <c r="S23">
        <v>37.200000000000003</v>
      </c>
    </row>
    <row r="24" spans="2:19" x14ac:dyDescent="0.3">
      <c r="B24" s="18" t="s">
        <v>68</v>
      </c>
      <c r="C24" s="19">
        <v>95.4</v>
      </c>
      <c r="D24" s="19">
        <v>80.3</v>
      </c>
      <c r="E24" s="19">
        <v>43.6</v>
      </c>
      <c r="F24" s="19">
        <v>20.7</v>
      </c>
      <c r="G24" s="20">
        <v>72.900000000000006</v>
      </c>
      <c r="H24" s="20">
        <v>36</v>
      </c>
      <c r="I24" s="20">
        <v>1206</v>
      </c>
      <c r="Q24" t="s">
        <v>76</v>
      </c>
      <c r="R24">
        <v>76.3</v>
      </c>
      <c r="S24">
        <v>40.799999999999997</v>
      </c>
    </row>
    <row r="25" spans="2:19" x14ac:dyDescent="0.3">
      <c r="B25" s="21" t="s">
        <v>31</v>
      </c>
      <c r="C25" s="22">
        <v>77</v>
      </c>
      <c r="D25" s="22">
        <v>76.099999999999994</v>
      </c>
      <c r="E25" s="22">
        <v>68.7</v>
      </c>
      <c r="F25" s="22">
        <v>60.8</v>
      </c>
      <c r="G25" s="23">
        <v>85.8</v>
      </c>
      <c r="H25" s="23">
        <v>4</v>
      </c>
      <c r="I25" s="23">
        <v>81</v>
      </c>
    </row>
    <row r="26" spans="2:19" x14ac:dyDescent="0.3">
      <c r="B26" s="18" t="s">
        <v>70</v>
      </c>
      <c r="C26" s="19">
        <v>109.6</v>
      </c>
      <c r="D26" s="19">
        <v>95.1</v>
      </c>
      <c r="E26" s="19">
        <v>82.1</v>
      </c>
      <c r="F26" s="19">
        <v>26.3</v>
      </c>
      <c r="G26" s="20">
        <v>75.8</v>
      </c>
      <c r="H26" s="20">
        <v>34</v>
      </c>
      <c r="I26" s="20">
        <v>1039</v>
      </c>
    </row>
    <row r="27" spans="2:19" x14ac:dyDescent="0.3">
      <c r="B27" s="21" t="s">
        <v>71</v>
      </c>
      <c r="C27" s="22">
        <v>101.8</v>
      </c>
      <c r="D27" s="22">
        <v>79.2</v>
      </c>
      <c r="E27" s="22">
        <v>70.400000000000006</v>
      </c>
      <c r="F27" s="22">
        <v>26.1</v>
      </c>
      <c r="G27" s="23">
        <v>66.099999999999994</v>
      </c>
      <c r="H27" s="23">
        <v>92</v>
      </c>
      <c r="I27" s="23">
        <v>3694</v>
      </c>
    </row>
    <row r="28" spans="2:19" x14ac:dyDescent="0.3">
      <c r="B28" s="18" t="s">
        <v>46</v>
      </c>
      <c r="C28" s="19">
        <v>92.9</v>
      </c>
      <c r="D28" s="19">
        <v>89.1</v>
      </c>
      <c r="E28" s="19">
        <v>64.2</v>
      </c>
      <c r="F28" s="19">
        <v>39.9</v>
      </c>
      <c r="G28" s="20">
        <v>81.400000000000006</v>
      </c>
      <c r="H28" s="20">
        <v>8</v>
      </c>
      <c r="I28" s="20">
        <v>23</v>
      </c>
    </row>
    <row r="29" spans="2:19" x14ac:dyDescent="0.3">
      <c r="B29" s="21" t="s">
        <v>38</v>
      </c>
      <c r="C29" s="22">
        <v>98.8</v>
      </c>
      <c r="D29" s="22">
        <v>95.6</v>
      </c>
      <c r="E29" s="22">
        <v>81.5</v>
      </c>
      <c r="F29" s="22">
        <v>46.9</v>
      </c>
      <c r="G29" s="23">
        <v>80.099999999999994</v>
      </c>
      <c r="H29" s="23">
        <v>59</v>
      </c>
      <c r="I29" s="23">
        <v>2667</v>
      </c>
    </row>
    <row r="30" spans="2:19" x14ac:dyDescent="0.3">
      <c r="B30" s="18" t="s">
        <v>49</v>
      </c>
      <c r="C30" s="19">
        <v>110.2</v>
      </c>
      <c r="D30" s="19">
        <v>94.1</v>
      </c>
      <c r="E30" s="19">
        <v>64.8</v>
      </c>
      <c r="F30" s="19">
        <v>39.1</v>
      </c>
      <c r="G30" s="20"/>
      <c r="H30" s="20">
        <v>31</v>
      </c>
      <c r="I30" s="20">
        <v>2062</v>
      </c>
    </row>
    <row r="31" spans="2:19" x14ac:dyDescent="0.3">
      <c r="B31" s="21" t="s">
        <v>77</v>
      </c>
      <c r="C31" s="22">
        <v>109.1</v>
      </c>
      <c r="D31" s="22">
        <v>81.3</v>
      </c>
      <c r="E31" s="22">
        <v>56.3</v>
      </c>
      <c r="F31" s="22">
        <v>19.2</v>
      </c>
      <c r="G31" s="23">
        <v>87.2</v>
      </c>
      <c r="H31" s="23">
        <v>5</v>
      </c>
      <c r="I31" s="23">
        <v>54</v>
      </c>
    </row>
    <row r="32" spans="2:19" x14ac:dyDescent="0.3">
      <c r="B32" s="18" t="s">
        <v>74</v>
      </c>
      <c r="C32" s="19">
        <v>98.1</v>
      </c>
      <c r="D32" s="19">
        <v>69.3</v>
      </c>
      <c r="E32" s="19">
        <v>50.7</v>
      </c>
      <c r="F32" s="19">
        <v>23.2</v>
      </c>
      <c r="G32" s="20">
        <v>67.7</v>
      </c>
      <c r="H32" s="20">
        <v>84</v>
      </c>
      <c r="I32" s="20">
        <v>8114</v>
      </c>
    </row>
    <row r="33" spans="2:9" x14ac:dyDescent="0.3">
      <c r="B33" s="21" t="s">
        <v>41</v>
      </c>
      <c r="C33" s="22">
        <v>113.2</v>
      </c>
      <c r="D33" s="22">
        <v>89.6</v>
      </c>
      <c r="E33" s="22">
        <v>78.8</v>
      </c>
      <c r="F33" s="22">
        <v>45.7</v>
      </c>
      <c r="G33" s="23">
        <v>78.8</v>
      </c>
      <c r="H33" s="23">
        <v>37</v>
      </c>
      <c r="I33" s="23">
        <v>477</v>
      </c>
    </row>
    <row r="34" spans="2:9" x14ac:dyDescent="0.3">
      <c r="B34" s="18" t="s">
        <v>76</v>
      </c>
      <c r="C34" s="19">
        <v>108.5</v>
      </c>
      <c r="D34" s="19">
        <v>88.2</v>
      </c>
      <c r="E34" s="19">
        <v>62</v>
      </c>
      <c r="F34" s="19">
        <v>21.3</v>
      </c>
      <c r="G34" s="20">
        <v>76.3</v>
      </c>
      <c r="H34" s="20">
        <v>52</v>
      </c>
      <c r="I34" s="20">
        <v>1446</v>
      </c>
    </row>
    <row r="35" spans="2:9" x14ac:dyDescent="0.3">
      <c r="B35" s="24" t="s">
        <v>78</v>
      </c>
      <c r="C35" s="25">
        <v>100.1</v>
      </c>
      <c r="D35" s="25">
        <v>79.599999999999994</v>
      </c>
      <c r="E35" s="25">
        <v>57.6</v>
      </c>
      <c r="F35" s="25">
        <v>27.3</v>
      </c>
      <c r="G35" s="26">
        <v>73</v>
      </c>
      <c r="H35" s="26">
        <v>1113</v>
      </c>
      <c r="I35" s="26">
        <v>43796</v>
      </c>
    </row>
    <row r="38" spans="2:9" ht="17.399999999999999" x14ac:dyDescent="0.3">
      <c r="B38" s="8" t="s">
        <v>79</v>
      </c>
      <c r="C38" s="8"/>
      <c r="D38" s="8"/>
      <c r="E38" s="8"/>
    </row>
    <row r="39" spans="2:9" ht="30" customHeight="1" x14ac:dyDescent="0.3">
      <c r="B39" s="17" t="s">
        <v>80</v>
      </c>
      <c r="C39" s="17" t="s">
        <v>81</v>
      </c>
      <c r="D39" s="17" t="s">
        <v>82</v>
      </c>
      <c r="E39" s="17" t="s">
        <v>83</v>
      </c>
    </row>
    <row r="40" spans="2:9" x14ac:dyDescent="0.3">
      <c r="B40" s="18" t="s">
        <v>33</v>
      </c>
      <c r="C40" s="19">
        <v>38.4</v>
      </c>
      <c r="D40" s="19">
        <v>35.200000000000003</v>
      </c>
      <c r="E40" s="19">
        <v>8.3000000000000007</v>
      </c>
    </row>
    <row r="41" spans="2:9" x14ac:dyDescent="0.3">
      <c r="B41" s="21" t="s">
        <v>36</v>
      </c>
      <c r="C41" s="22">
        <v>39.4</v>
      </c>
      <c r="D41" s="22">
        <v>35.5</v>
      </c>
      <c r="E41" s="22">
        <v>9.9</v>
      </c>
    </row>
    <row r="42" spans="2:9" x14ac:dyDescent="0.3">
      <c r="B42" s="18" t="s">
        <v>40</v>
      </c>
      <c r="C42" s="19">
        <v>28.9</v>
      </c>
      <c r="D42" s="19">
        <v>26</v>
      </c>
      <c r="E42" s="19">
        <v>10.1</v>
      </c>
    </row>
    <row r="43" spans="2:9" x14ac:dyDescent="0.3">
      <c r="B43" s="21" t="s">
        <v>43</v>
      </c>
      <c r="C43" s="22">
        <v>38.9</v>
      </c>
      <c r="D43" s="22">
        <v>34.299999999999997</v>
      </c>
      <c r="E43" s="22">
        <v>11.7</v>
      </c>
    </row>
    <row r="44" spans="2:9" x14ac:dyDescent="0.3">
      <c r="B44" s="18" t="s">
        <v>34</v>
      </c>
      <c r="C44" s="19">
        <v>33.799999999999997</v>
      </c>
      <c r="D44" s="19">
        <v>31.1</v>
      </c>
      <c r="E44" s="19">
        <v>7.8</v>
      </c>
    </row>
    <row r="45" spans="2:9" x14ac:dyDescent="0.3">
      <c r="B45" s="21" t="s">
        <v>48</v>
      </c>
      <c r="C45" s="22">
        <v>38.700000000000003</v>
      </c>
      <c r="D45" s="22">
        <v>37</v>
      </c>
      <c r="E45" s="22">
        <v>4.4000000000000004</v>
      </c>
    </row>
    <row r="46" spans="2:9" x14ac:dyDescent="0.3">
      <c r="B46" s="18" t="s">
        <v>51</v>
      </c>
      <c r="C46" s="19">
        <v>34.4</v>
      </c>
      <c r="D46" s="19">
        <v>29.8</v>
      </c>
      <c r="E46" s="19">
        <v>13.5</v>
      </c>
    </row>
    <row r="47" spans="2:9" x14ac:dyDescent="0.3">
      <c r="B47" s="21" t="s">
        <v>53</v>
      </c>
      <c r="C47" s="22">
        <v>43.2</v>
      </c>
      <c r="D47" s="22">
        <v>38.700000000000003</v>
      </c>
      <c r="E47" s="22">
        <v>10.4</v>
      </c>
    </row>
    <row r="48" spans="2:9" x14ac:dyDescent="0.3">
      <c r="B48" s="18" t="s">
        <v>57</v>
      </c>
      <c r="C48" s="19">
        <v>37.5</v>
      </c>
      <c r="D48" s="19">
        <v>31.7</v>
      </c>
      <c r="E48" s="19">
        <v>15.6</v>
      </c>
    </row>
    <row r="49" spans="2:5" x14ac:dyDescent="0.3">
      <c r="B49" s="21" t="s">
        <v>59</v>
      </c>
      <c r="C49" s="22">
        <v>31.3</v>
      </c>
      <c r="D49" s="22">
        <v>28.7</v>
      </c>
      <c r="E49" s="22">
        <v>8.1999999999999993</v>
      </c>
    </row>
    <row r="50" spans="2:5" x14ac:dyDescent="0.3">
      <c r="B50" s="18" t="s">
        <v>61</v>
      </c>
      <c r="C50" s="19">
        <v>39.1</v>
      </c>
      <c r="D50" s="19">
        <v>37.1</v>
      </c>
      <c r="E50" s="19">
        <v>4.9000000000000004</v>
      </c>
    </row>
    <row r="51" spans="2:5" x14ac:dyDescent="0.3">
      <c r="B51" s="21" t="s">
        <v>44</v>
      </c>
      <c r="C51" s="22">
        <v>37.1</v>
      </c>
      <c r="D51" s="22">
        <v>32.200000000000003</v>
      </c>
      <c r="E51" s="22">
        <v>13.2</v>
      </c>
    </row>
    <row r="52" spans="2:5" x14ac:dyDescent="0.3">
      <c r="B52" s="18" t="s">
        <v>64</v>
      </c>
      <c r="C52" s="19">
        <v>35.299999999999997</v>
      </c>
      <c r="D52" s="19">
        <v>31.9</v>
      </c>
      <c r="E52" s="19">
        <v>9.4</v>
      </c>
    </row>
    <row r="53" spans="2:5" x14ac:dyDescent="0.3">
      <c r="B53" s="21" t="s">
        <v>66</v>
      </c>
      <c r="C53" s="22">
        <v>39.200000000000003</v>
      </c>
      <c r="D53" s="22">
        <v>36.4</v>
      </c>
      <c r="E53" s="22">
        <v>7</v>
      </c>
    </row>
    <row r="54" spans="2:5" x14ac:dyDescent="0.3">
      <c r="B54" s="18" t="s">
        <v>68</v>
      </c>
      <c r="C54" s="19">
        <v>39.1</v>
      </c>
      <c r="D54" s="19">
        <v>34.200000000000003</v>
      </c>
      <c r="E54" s="19">
        <v>12.7</v>
      </c>
    </row>
    <row r="55" spans="2:5" x14ac:dyDescent="0.3">
      <c r="B55" s="21" t="s">
        <v>70</v>
      </c>
      <c r="C55" s="22">
        <v>40</v>
      </c>
      <c r="D55" s="22">
        <v>37</v>
      </c>
      <c r="E55" s="22">
        <v>7.5</v>
      </c>
    </row>
    <row r="56" spans="2:5" x14ac:dyDescent="0.3">
      <c r="B56" s="18" t="s">
        <v>71</v>
      </c>
      <c r="C56" s="19">
        <v>33.6</v>
      </c>
      <c r="D56" s="19">
        <v>29.3</v>
      </c>
      <c r="E56" s="19">
        <v>12.9</v>
      </c>
    </row>
    <row r="57" spans="2:5" x14ac:dyDescent="0.3">
      <c r="B57" s="21" t="s">
        <v>38</v>
      </c>
      <c r="C57" s="22">
        <v>41.6</v>
      </c>
      <c r="D57" s="22">
        <v>38.1</v>
      </c>
      <c r="E57" s="22">
        <v>8.3000000000000007</v>
      </c>
    </row>
    <row r="58" spans="2:5" x14ac:dyDescent="0.3">
      <c r="B58" s="18" t="s">
        <v>49</v>
      </c>
      <c r="C58" s="19">
        <v>38.4</v>
      </c>
      <c r="D58" s="19">
        <v>35.9</v>
      </c>
      <c r="E58" s="19">
        <v>6.6</v>
      </c>
    </row>
    <row r="59" spans="2:5" x14ac:dyDescent="0.3">
      <c r="B59" s="21" t="s">
        <v>74</v>
      </c>
      <c r="C59" s="22">
        <v>31.7</v>
      </c>
      <c r="D59" s="22">
        <v>28.9</v>
      </c>
      <c r="E59" s="22">
        <v>8.9</v>
      </c>
    </row>
    <row r="60" spans="2:5" x14ac:dyDescent="0.3">
      <c r="B60" s="18" t="s">
        <v>41</v>
      </c>
      <c r="C60" s="19">
        <v>37.200000000000003</v>
      </c>
      <c r="D60" s="19">
        <v>32.799999999999997</v>
      </c>
      <c r="E60" s="19">
        <v>11.9</v>
      </c>
    </row>
    <row r="61" spans="2:5" x14ac:dyDescent="0.3">
      <c r="B61" s="21" t="s">
        <v>76</v>
      </c>
      <c r="C61" s="22">
        <v>40.799999999999997</v>
      </c>
      <c r="D61" s="22">
        <v>38.299999999999997</v>
      </c>
      <c r="E61" s="22">
        <v>6</v>
      </c>
    </row>
    <row r="62" spans="2:5" x14ac:dyDescent="0.3">
      <c r="B62" s="24" t="s">
        <v>78</v>
      </c>
      <c r="C62" s="25">
        <v>37.200000000000003</v>
      </c>
      <c r="D62" s="25">
        <v>34.200000000000003</v>
      </c>
      <c r="E62" s="25">
        <v>8.1999999999999993</v>
      </c>
    </row>
    <row r="65" spans="2:6" ht="17.399999999999999" x14ac:dyDescent="0.3">
      <c r="B65" s="8" t="s">
        <v>84</v>
      </c>
      <c r="C65" s="8"/>
      <c r="D65" s="8"/>
      <c r="E65" s="8"/>
      <c r="F65" s="8"/>
    </row>
    <row r="66" spans="2:6" x14ac:dyDescent="0.3">
      <c r="B66" s="27" t="s">
        <v>85</v>
      </c>
      <c r="C66" s="27" t="s">
        <v>81</v>
      </c>
      <c r="D66" s="27" t="s">
        <v>82</v>
      </c>
      <c r="E66" s="27" t="s">
        <v>83</v>
      </c>
    </row>
    <row r="67" spans="2:6" x14ac:dyDescent="0.3">
      <c r="B67" s="18" t="s">
        <v>86</v>
      </c>
      <c r="C67" s="19">
        <v>35.6</v>
      </c>
      <c r="D67" s="19">
        <v>32.1</v>
      </c>
      <c r="E67" s="19">
        <v>9.8000000000000007</v>
      </c>
    </row>
    <row r="68" spans="2:6" x14ac:dyDescent="0.3">
      <c r="B68" s="21" t="s">
        <v>87</v>
      </c>
      <c r="C68" s="22">
        <v>36.1</v>
      </c>
      <c r="D68" s="22">
        <v>32.6</v>
      </c>
      <c r="E68" s="22">
        <v>9.6999999999999993</v>
      </c>
    </row>
    <row r="69" spans="2:6" x14ac:dyDescent="0.3">
      <c r="B69" s="18" t="s">
        <v>88</v>
      </c>
      <c r="C69" s="19">
        <v>36.299999999999997</v>
      </c>
      <c r="D69" s="19">
        <v>32.700000000000003</v>
      </c>
      <c r="E69" s="19">
        <v>9.9</v>
      </c>
    </row>
    <row r="70" spans="2:6" x14ac:dyDescent="0.3">
      <c r="B70" s="21" t="s">
        <v>89</v>
      </c>
      <c r="C70" s="22">
        <v>36</v>
      </c>
      <c r="D70" s="22">
        <v>32.700000000000003</v>
      </c>
      <c r="E70" s="22">
        <v>9.3000000000000007</v>
      </c>
    </row>
    <row r="71" spans="2:6" x14ac:dyDescent="0.3">
      <c r="B71" s="18" t="s">
        <v>90</v>
      </c>
      <c r="C71" s="19">
        <v>36.200000000000003</v>
      </c>
      <c r="D71" s="19">
        <v>32.9</v>
      </c>
      <c r="E71" s="19">
        <v>8.9</v>
      </c>
    </row>
    <row r="72" spans="2:6" x14ac:dyDescent="0.3">
      <c r="B72" s="21" t="s">
        <v>91</v>
      </c>
      <c r="C72" s="22">
        <v>36.799999999999997</v>
      </c>
      <c r="D72" s="22">
        <v>33.700000000000003</v>
      </c>
      <c r="E72" s="22">
        <v>8.4</v>
      </c>
    </row>
    <row r="73" spans="2:6" x14ac:dyDescent="0.3">
      <c r="B73" s="18" t="s">
        <v>92</v>
      </c>
      <c r="C73" s="19">
        <v>37.200000000000003</v>
      </c>
      <c r="D73" s="19">
        <v>34.200000000000003</v>
      </c>
      <c r="E73" s="19">
        <v>7.9</v>
      </c>
    </row>
    <row r="74" spans="2:6" x14ac:dyDescent="0.3">
      <c r="B74" s="21" t="s">
        <v>93</v>
      </c>
      <c r="C74" s="22">
        <v>37.5</v>
      </c>
      <c r="D74" s="22">
        <v>34.1</v>
      </c>
      <c r="E74" s="22">
        <v>9.1</v>
      </c>
    </row>
    <row r="75" spans="2:6" x14ac:dyDescent="0.3">
      <c r="B75" s="18" t="s">
        <v>94</v>
      </c>
      <c r="C75" s="19">
        <v>35.9</v>
      </c>
      <c r="D75" s="19">
        <v>28.4</v>
      </c>
      <c r="E75" s="19">
        <v>20.9</v>
      </c>
    </row>
    <row r="76" spans="2:6" x14ac:dyDescent="0.3">
      <c r="B76" s="21" t="s">
        <v>95</v>
      </c>
      <c r="C76" s="22">
        <v>37</v>
      </c>
      <c r="D76" s="22">
        <v>32.1</v>
      </c>
      <c r="E76" s="22">
        <v>13.3</v>
      </c>
    </row>
    <row r="77" spans="2:6" x14ac:dyDescent="0.3">
      <c r="B77" s="18" t="s">
        <v>96</v>
      </c>
      <c r="C77" s="19">
        <v>37.299999999999997</v>
      </c>
      <c r="D77" s="19">
        <v>33.5</v>
      </c>
      <c r="E77" s="19">
        <v>10.3</v>
      </c>
    </row>
    <row r="78" spans="2:6" x14ac:dyDescent="0.3">
      <c r="B78" s="21" t="s">
        <v>97</v>
      </c>
      <c r="C78" s="22">
        <v>37.5</v>
      </c>
      <c r="D78" s="22">
        <v>34</v>
      </c>
      <c r="E78" s="22">
        <v>9.4</v>
      </c>
    </row>
    <row r="79" spans="2:6" x14ac:dyDescent="0.3">
      <c r="B79" s="18" t="s">
        <v>98</v>
      </c>
      <c r="C79" s="19">
        <v>37.1</v>
      </c>
      <c r="D79" s="19">
        <v>32.4</v>
      </c>
      <c r="E79" s="19">
        <v>12.7</v>
      </c>
    </row>
    <row r="80" spans="2:6" x14ac:dyDescent="0.3">
      <c r="B80" s="21" t="s">
        <v>99</v>
      </c>
      <c r="C80" s="22">
        <v>37</v>
      </c>
      <c r="D80" s="22">
        <v>33.4</v>
      </c>
      <c r="E80" s="22">
        <v>9.8000000000000007</v>
      </c>
    </row>
    <row r="81" spans="2:9" x14ac:dyDescent="0.3">
      <c r="B81" s="18" t="s">
        <v>100</v>
      </c>
      <c r="C81" s="19">
        <v>37.200000000000003</v>
      </c>
      <c r="D81" s="19">
        <v>33.9</v>
      </c>
      <c r="E81" s="19">
        <v>8.8000000000000007</v>
      </c>
    </row>
    <row r="82" spans="2:9" x14ac:dyDescent="0.3">
      <c r="B82" s="21" t="s">
        <v>101</v>
      </c>
      <c r="C82" s="22">
        <v>37.200000000000003</v>
      </c>
      <c r="D82" s="22">
        <v>34.200000000000003</v>
      </c>
      <c r="E82" s="22">
        <v>8.1999999999999993</v>
      </c>
    </row>
    <row r="84" spans="2:9" x14ac:dyDescent="0.3">
      <c r="B84" s="3" t="s">
        <v>102</v>
      </c>
      <c r="C84" s="3"/>
      <c r="D84" s="3"/>
      <c r="E84" s="3"/>
      <c r="F84" s="3"/>
      <c r="G84" s="3"/>
      <c r="H84" s="3"/>
      <c r="I84" s="3"/>
    </row>
  </sheetData>
  <mergeCells count="4">
    <mergeCell ref="B2:I2"/>
    <mergeCell ref="B38:E38"/>
    <mergeCell ref="B65:F65"/>
    <mergeCell ref="B84:I84"/>
  </mergeCells>
  <conditionalFormatting sqref="F4:F35">
    <cfRule type="colorScale" priority="2">
      <colorScale>
        <cfvo type="min"/>
        <cfvo type="max"/>
        <color rgb="FFF8696B"/>
        <color rgb="FF63BE7B"/>
      </colorScale>
    </cfRule>
  </conditionalFormatting>
  <conditionalFormatting sqref="G4:G35">
    <cfRule type="colorScale" priority="3">
      <colorScale>
        <cfvo type="min"/>
        <cfvo type="max"/>
        <color rgb="FFF8696B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11"/>
  <sheetViews>
    <sheetView showGridLines="0" zoomScaleNormal="100" workbookViewId="0">
      <selection activeCell="C17" sqref="C17"/>
    </sheetView>
  </sheetViews>
  <sheetFormatPr defaultColWidth="8.6640625" defaultRowHeight="14.4" x14ac:dyDescent="0.3"/>
  <cols>
    <col min="1" max="1" width="2" customWidth="1"/>
    <col min="2" max="2" width="26" customWidth="1"/>
    <col min="3" max="3" width="10" customWidth="1"/>
    <col min="4" max="4" width="55" customWidth="1"/>
    <col min="5" max="5" width="12" customWidth="1"/>
  </cols>
  <sheetData>
    <row r="2" spans="2:5" ht="22.8" x14ac:dyDescent="0.4">
      <c r="B2" s="2" t="s">
        <v>11</v>
      </c>
      <c r="C2" s="2"/>
      <c r="D2" s="2"/>
      <c r="E2" s="2"/>
    </row>
    <row r="3" spans="2:5" x14ac:dyDescent="0.3">
      <c r="B3" s="13" t="s">
        <v>103</v>
      </c>
      <c r="C3" s="13"/>
      <c r="D3" s="13"/>
      <c r="E3" s="13"/>
    </row>
    <row r="5" spans="2:5" ht="24" customHeight="1" x14ac:dyDescent="0.3">
      <c r="B5" s="17" t="s">
        <v>104</v>
      </c>
      <c r="C5" s="17" t="s">
        <v>105</v>
      </c>
      <c r="D5" s="17" t="s">
        <v>106</v>
      </c>
      <c r="E5" s="17" t="s">
        <v>107</v>
      </c>
    </row>
    <row r="6" spans="2:5" ht="54.75" customHeight="1" x14ac:dyDescent="0.3">
      <c r="B6" s="28" t="s">
        <v>108</v>
      </c>
      <c r="C6" s="29">
        <v>0.3</v>
      </c>
      <c r="D6" s="30" t="s">
        <v>109</v>
      </c>
      <c r="E6" s="31"/>
    </row>
    <row r="7" spans="2:5" ht="54.75" customHeight="1" x14ac:dyDescent="0.3">
      <c r="B7" s="32" t="s">
        <v>110</v>
      </c>
      <c r="C7" s="33">
        <v>0.25</v>
      </c>
      <c r="D7" s="34" t="s">
        <v>111</v>
      </c>
      <c r="E7" s="31"/>
    </row>
    <row r="8" spans="2:5" ht="54.75" customHeight="1" x14ac:dyDescent="0.3">
      <c r="B8" s="28" t="s">
        <v>112</v>
      </c>
      <c r="C8" s="29">
        <v>0.25</v>
      </c>
      <c r="D8" s="30" t="s">
        <v>113</v>
      </c>
      <c r="E8" s="31"/>
    </row>
    <row r="9" spans="2:5" ht="54.75" customHeight="1" x14ac:dyDescent="0.3">
      <c r="B9" s="32" t="s">
        <v>114</v>
      </c>
      <c r="C9" s="33">
        <v>0.2</v>
      </c>
      <c r="D9" s="34" t="s">
        <v>115</v>
      </c>
      <c r="E9" s="31"/>
    </row>
    <row r="11" spans="2:5" ht="15.6" x14ac:dyDescent="0.3">
      <c r="B11" s="1" t="s">
        <v>116</v>
      </c>
      <c r="C11" s="1"/>
      <c r="D11" s="1"/>
      <c r="E11" s="35">
        <f>SUMPRODUCT(C6:C9,E6:E9)</f>
        <v>0</v>
      </c>
    </row>
  </sheetData>
  <mergeCells count="3">
    <mergeCell ref="B2:E2"/>
    <mergeCell ref="B3:E3"/>
    <mergeCell ref="B11:D11"/>
  </mergeCells>
  <dataValidations count="1">
    <dataValidation type="whole" allowBlank="1" sqref="E6:E9" xr:uid="{00000000-0002-0000-0300-000000000000}">
      <formula1>0</formula1>
      <formula2>10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Read Me</vt:lpstr>
      <vt:lpstr>Raw Data</vt:lpstr>
      <vt:lpstr>Scoring Rubric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The Balamurugan</cp:lastModifiedBy>
  <cp:revision>1</cp:revision>
  <dcterms:created xsi:type="dcterms:W3CDTF">2026-08-14T06:25:23Z</dcterms:created>
  <dcterms:modified xsi:type="dcterms:W3CDTF">2026-08-14T07:47:05Z</dcterms:modified>
  <dc:language>en-US</dc:language>
</cp:coreProperties>
</file>